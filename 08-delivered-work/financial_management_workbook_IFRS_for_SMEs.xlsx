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s" sheetId="1" state="visible" r:id="rId3"/>
    <sheet name="Read_Me" sheetId="2" state="visible" r:id="rId4"/>
    <sheet name="Company_Info" sheetId="3" state="visible" r:id="rId5"/>
    <sheet name="Settings" sheetId="4" state="visible" r:id="rId6"/>
    <sheet name="COA" sheetId="5" state="visible" r:id="rId7"/>
    <sheet name="Opening_TB" sheetId="6" state="visible" r:id="rId8"/>
    <sheet name="Sales_Register" sheetId="7" state="visible" r:id="rId9"/>
    <sheet name="Purchase_Register" sheetId="8" state="visible" r:id="rId10"/>
    <sheet name="Payroll" sheetId="9" state="visible" r:id="rId11"/>
    <sheet name="Cash_Book" sheetId="10" state="visible" r:id="rId12"/>
    <sheet name="Fixed_Assets" sheetId="11" state="visible" r:id="rId13"/>
    <sheet name="Loan_Schedule" sheetId="12" state="visible" r:id="rId14"/>
    <sheet name="Tax_Computation" sheetId="13" state="visible" r:id="rId15"/>
    <sheet name="Journals" sheetId="14" state="visible" r:id="rId16"/>
    <sheet name="Trial_Balance" sheetId="15" state="visible" r:id="rId17"/>
    <sheet name="SoFP" sheetId="16" state="visible" r:id="rId18"/>
    <sheet name="SoCI" sheetId="17" state="visible" r:id="rId19"/>
    <sheet name="SoCE" sheetId="18" state="visible" r:id="rId20"/>
    <sheet name="SoCF" sheetId="19" state="visible" r:id="rId21"/>
    <sheet name="Notes" sheetId="20" state="visible" r:id="rId22"/>
    <sheet name="Three_Statement_Model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<sst xmlns="http://schemas.openxmlformats.org/spreadsheetml/2006/main" count="1239" uniqueCount="847">
  <si>
    <t xml:space="preserve">Checks</t>
  </si>
  <si>
    <t xml:space="preserve">#</t>
  </si>
  <si>
    <t xml:space="preserve">Check</t>
  </si>
  <si>
    <t xml:space="preserve">Value A</t>
  </si>
  <si>
    <t xml:space="preserve">Value B</t>
  </si>
  <si>
    <t xml:space="preserve">Result</t>
  </si>
  <si>
    <t xml:space="preserve">Opening trial balance sums to zero</t>
  </si>
  <si>
    <t xml:space="preserve">Trial balance: total debits = total credits</t>
  </si>
  <si>
    <t xml:space="preserve">Journals balance</t>
  </si>
  <si>
    <t xml:space="preserve">Statement of financial position balances</t>
  </si>
  <si>
    <t xml:space="preserve">Cash flow closing cash = bank in trial balance</t>
  </si>
  <si>
    <t xml:space="preserve">Cash flow closing cash = cash book running balance</t>
  </si>
  <si>
    <t xml:space="preserve">Receivables by customer = receivables control account</t>
  </si>
  <si>
    <t xml:space="preserve">Payables by supplier = payables control account</t>
  </si>
  <si>
    <t xml:space="preserve">Fixed asset register carrying amount = PPE in statements</t>
  </si>
  <si>
    <t xml:space="preserve">PPE note = statement of financial position</t>
  </si>
  <si>
    <t xml:space="preserve">Fixed asset register opening depreciation = opening trial balance</t>
  </si>
  <si>
    <t xml:space="preserve">Loan balance per trial balance = loan schedule</t>
  </si>
  <si>
    <t xml:space="preserve">Loan interest per trial balance = loan schedule</t>
  </si>
  <si>
    <t xml:space="preserve">Net salaries paid = payroll register net pay</t>
  </si>
  <si>
    <t xml:space="preserve">PAYE and RSSB payable = December remittance per payroll register</t>
  </si>
  <si>
    <t xml:space="preserve">Current tax in trial balance = tax computation</t>
  </si>
  <si>
    <t xml:space="preserve">Deferred tax liability in trial balance = tax computation</t>
  </si>
  <si>
    <t xml:space="preserve">Tax expense = 28% x (profit before tax + non-deductible expenses), within rounding</t>
  </si>
  <si>
    <t xml:space="preserve">Revenue note = income statement</t>
  </si>
  <si>
    <t xml:space="preserve">Expenses by nature = cost of sales + administrative + selling expenses</t>
  </si>
  <si>
    <t xml:space="preserve">Three-statement model: actual-year cash = statement of cash flows</t>
  </si>
  <si>
    <t xml:space="preserve">Three-statement model balances in every year</t>
  </si>
  <si>
    <t xml:space="preserve">Every coded line in registers, cash book and journals uses a valid account code</t>
  </si>
  <si>
    <t xml:space="preserve">Overall</t>
  </si>
  <si>
    <t xml:space="preserve">Financial Management Workbook — IFRS for SMEs, Rwanda (extended version)</t>
  </si>
  <si>
    <t xml:space="preserve">Author: Anicet Safari, CPA · October 2026 · Fictional company and figures</t>
  </si>
  <si>
    <t xml:space="preserve">Purpose</t>
  </si>
  <si>
    <t xml:space="preserve">Shows how the simplified cash-book workbook I designed for a small client scales up to accrual accounting, a full set of financial statements under the</t>
  </si>
  <si>
    <t xml:space="preserve">IFRS for SMEs Accounting Standard, Rwandan tax and payroll rules, and an integrated three-statement forecast model. It is not the file delivered to the client.</t>
  </si>
  <si>
    <t xml:space="preserve">Data flow</t>
  </si>
  <si>
    <t xml:space="preserve">Inputs: Settings, COA, Opening_TB, Sales_Register, Purchase_Register, Payroll, Cash_Book, Fixed_Assets, Loan_Schedule, Tax_Computation, Journals</t>
  </si>
  <si>
    <t xml:space="preserve">  -&gt; Trial_Balance (built by formula from every input sheet)  -&gt; SoFP, SoCI, SoCE, SoCF, Notes  -&gt; Three_Statement_Model  -&gt; Checks</t>
  </si>
  <si>
    <t xml:space="preserve">Rwandan rules applied (rates held in Settings so they can be updated)</t>
  </si>
  <si>
    <t xml:space="preserve">Corporate income tax 28% · tax depreciation (wear and tear) 50% computers and ICT, 25% other business assets, reducing balance</t>
  </si>
  <si>
    <t xml:space="preserve">PAYE monthly bands 0% to RWF 60,000, 10% to 100,000, 20% to 200,000, 30% above · RSSB: pension 6% employee + 6% employer, occupational hazards 2% employer,</t>
  </si>
  <si>
    <t xml:space="preserve">maternity 0.3% + 0.3%, CBHI 0.5% of net salary · PAYE and RSSB remitted by the 15th of the following month · quarterly income tax prepayments (30 June, 30 September,</t>
  </si>
  <si>
    <t xml:space="preserve">31 December) · VAT registration required above RWF 20 million turnover a year (the company is below it in 2025; the model flags the year it would cross)</t>
  </si>
  <si>
    <t xml:space="preserve">Financial statements prepared in line with Law Nº 007/2021 of 05/02/2021 governing companies (see Company_Info).</t>
  </si>
  <si>
    <t xml:space="preserve">Simplifications</t>
  </si>
  <si>
    <t xml:space="preserve">No comparative prior-year column; no VAT, impairment or provisions; prepayment amounts are illustrative inputs; the forecast holds deferred tax constant.</t>
  </si>
  <si>
    <t xml:space="preserve">Colour legend: blue on yellow = input · black = formula · green = link to another sheet</t>
  </si>
  <si>
    <t xml:space="preserve">Corporate information and statement of directors' responsibilities</t>
  </si>
  <si>
    <t xml:space="preserve">Company</t>
  </si>
  <si>
    <t xml:space="preserve">Legal form</t>
  </si>
  <si>
    <t xml:space="preserve">Private limited company incorporated in Rwanda (fictional)</t>
  </si>
  <si>
    <t xml:space="preserve">Registered office</t>
  </si>
  <si>
    <t xml:space="preserve">Kigali, Rwanda</t>
  </si>
  <si>
    <t xml:space="preserve">Principal activity</t>
  </si>
  <si>
    <t xml:space="preserve">Software development, IT support and digital skills training</t>
  </si>
  <si>
    <t xml:space="preserve">Directors</t>
  </si>
  <si>
    <t xml:space="preserve">Director A (Managing Director); Director B</t>
  </si>
  <si>
    <t xml:space="preserve">Bankers</t>
  </si>
  <si>
    <t xml:space="preserve">A commercial bank in Kigali</t>
  </si>
  <si>
    <t xml:space="preserve">Tax status</t>
  </si>
  <si>
    <t xml:space="preserve">Registered for corporate income tax and PAYE with RRA; not registered for VAT (2025 turnover below the RWF 20 million threshold)</t>
  </si>
  <si>
    <t xml:space="preserve">Statement of directors' responsibilities</t>
  </si>
  <si>
    <t xml:space="preserve">Law Nº 007/2021 of 05/02/2021 governing companies requires the directors to keep proper accounting records and to prepare financial statements for each financial year</t>
  </si>
  <si>
    <t xml:space="preserve">that give a true and fair view of the financial position and performance of the company. The directors have prepared these financial statements in accordance with the</t>
  </si>
  <si>
    <t xml:space="preserve">IFRS for SMEs Accounting Standard. They are responsible for internal controls that prevent and detect fraud and error, for selecting and applying suitable accounting</t>
  </si>
  <si>
    <t xml:space="preserve">policies, for making reasonable estimates, and for assessing whether the company can continue as a going concern. The company files its annual return with the Rwanda</t>
  </si>
  <si>
    <t xml:space="preserve">Development Board and its tax declarations with the Rwanda Revenue Authority.</t>
  </si>
  <si>
    <t xml:space="preserve">Approved by the board of directors and signed on its behalf: ____________________ Director      ____________________ Director</t>
  </si>
  <si>
    <t xml:space="preserve">Settings and Rwandan tax parameters</t>
  </si>
  <si>
    <t xml:space="preserve">Company name</t>
  </si>
  <si>
    <t xml:space="preserve">Example Tech Ltd (fictional)</t>
  </si>
  <si>
    <t xml:space="preserve">Financial year (calendar)</t>
  </si>
  <si>
    <t xml:space="preserve">Corporate income tax rate</t>
  </si>
  <si>
    <t xml:space="preserve">Bank account code</t>
  </si>
  <si>
    <t xml:space="preserve">Trade receivables control code</t>
  </si>
  <si>
    <t xml:space="preserve">Trade payables control code</t>
  </si>
  <si>
    <t xml:space="preserve">PAYE band 1 upper limit (0%)</t>
  </si>
  <si>
    <t xml:space="preserve">PAYE band 2 upper limit (10%)</t>
  </si>
  <si>
    <t xml:space="preserve">PAYE band 3 upper limit (20%)</t>
  </si>
  <si>
    <t xml:space="preserve">PAYE rate band 2</t>
  </si>
  <si>
    <t xml:space="preserve">PAYE rate band 3</t>
  </si>
  <si>
    <t xml:space="preserve">PAYE rate above band 3</t>
  </si>
  <si>
    <t xml:space="preserve">RSSB pension - employee</t>
  </si>
  <si>
    <t xml:space="preserve">RSSB pension - employer</t>
  </si>
  <si>
    <t xml:space="preserve">RSSB occupational hazards - employer</t>
  </si>
  <si>
    <t xml:space="preserve">RSSB maternity leave - employee</t>
  </si>
  <si>
    <t xml:space="preserve">RSSB maternity leave - employer</t>
  </si>
  <si>
    <t xml:space="preserve">CBHI - employee (on net salary)</t>
  </si>
  <si>
    <t xml:space="preserve">VAT registration threshold (annual turnover)</t>
  </si>
  <si>
    <t xml:space="preserve">Wear and tear - computers and ICT</t>
  </si>
  <si>
    <t xml:space="preserve">Wear and tear - other business assets</t>
  </si>
  <si>
    <t xml:space="preserve">Sources: Rwanda Revenue Authority income tax guide 2025; PwC Worldwide Tax Summaries (Rwanda). Check rates against current law before use.</t>
  </si>
  <si>
    <t xml:space="preserve">All amounts in Rwandan francs (RWF).</t>
  </si>
  <si>
    <t xml:space="preserve">Chart of accounts</t>
  </si>
  <si>
    <t xml:space="preserve">Code</t>
  </si>
  <si>
    <t xml:space="preserve">Account</t>
  </si>
  <si>
    <t xml:space="preserve">Class</t>
  </si>
  <si>
    <t xml:space="preserve">Statement line</t>
  </si>
  <si>
    <t xml:space="preserve">Nature (expense note)</t>
  </si>
  <si>
    <t xml:space="preserve">Bank</t>
  </si>
  <si>
    <t xml:space="preserve">Asset</t>
  </si>
  <si>
    <t xml:space="preserve">Cash and cash equivalents</t>
  </si>
  <si>
    <t xml:space="preserve">Trade receivables</t>
  </si>
  <si>
    <t xml:space="preserve">Trade and other receivables</t>
  </si>
  <si>
    <t xml:space="preserve">Prepayments</t>
  </si>
  <si>
    <t xml:space="preserve">Property, plant and equipment - cost</t>
  </si>
  <si>
    <t xml:space="preserve">Property, plant and equipment</t>
  </si>
  <si>
    <t xml:space="preserve">Property, plant and equipment - accumulated depreciation</t>
  </si>
  <si>
    <t xml:space="preserve">Trade payables</t>
  </si>
  <si>
    <t xml:space="preserve">Liability</t>
  </si>
  <si>
    <t xml:space="preserve">Trade and other payables</t>
  </si>
  <si>
    <t xml:space="preserve">Accrued expenses</t>
  </si>
  <si>
    <t xml:space="preserve">Income tax payable</t>
  </si>
  <si>
    <t xml:space="preserve">Current income tax liability</t>
  </si>
  <si>
    <t xml:space="preserve">PAYE and RSSB contributions payable</t>
  </si>
  <si>
    <t xml:space="preserve">PAYE and social security payable</t>
  </si>
  <si>
    <t xml:space="preserve">Net salaries payable</t>
  </si>
  <si>
    <t xml:space="preserve">Bank loan</t>
  </si>
  <si>
    <t xml:space="preserve">Borrowings</t>
  </si>
  <si>
    <t xml:space="preserve">Deferred tax liability</t>
  </si>
  <si>
    <t xml:space="preserve">Share capital</t>
  </si>
  <si>
    <t xml:space="preserve">Equity</t>
  </si>
  <si>
    <t xml:space="preserve">Retained earnings</t>
  </si>
  <si>
    <t xml:space="preserve">Dividends</t>
  </si>
  <si>
    <t xml:space="preserve">Software development services</t>
  </si>
  <si>
    <t xml:space="preserve">Income</t>
  </si>
  <si>
    <t xml:space="preserve">Revenue</t>
  </si>
  <si>
    <t xml:space="preserve">IT support and maintenance</t>
  </si>
  <si>
    <t xml:space="preserve">Training fees</t>
  </si>
  <si>
    <t xml:space="preserve">Other income</t>
  </si>
  <si>
    <t xml:space="preserve">Contractor costs</t>
  </si>
  <si>
    <t xml:space="preserve">Expense</t>
  </si>
  <si>
    <t xml:space="preserve">Cost of sales</t>
  </si>
  <si>
    <t xml:space="preserve">Software subscriptions</t>
  </si>
  <si>
    <t xml:space="preserve">Software and subscriptions</t>
  </si>
  <si>
    <t xml:space="preserve">Salaries and wages</t>
  </si>
  <si>
    <t xml:space="preserve">Administrative expenses</t>
  </si>
  <si>
    <t xml:space="preserve">Employee benefits</t>
  </si>
  <si>
    <t xml:space="preserve">Employer RSSB contributions</t>
  </si>
  <si>
    <t xml:space="preserve">Office rent</t>
  </si>
  <si>
    <t xml:space="preserve">Premises</t>
  </si>
  <si>
    <t xml:space="preserve">Electricity and water</t>
  </si>
  <si>
    <t xml:space="preserve">Internet and communication</t>
  </si>
  <si>
    <t xml:space="preserve">Communication</t>
  </si>
  <si>
    <t xml:space="preserve">Transport</t>
  </si>
  <si>
    <t xml:space="preserve">Bank charges</t>
  </si>
  <si>
    <t xml:space="preserve">Trading licence and fees</t>
  </si>
  <si>
    <t xml:space="preserve">Licences and fees</t>
  </si>
  <si>
    <t xml:space="preserve">Depreciation</t>
  </si>
  <si>
    <t xml:space="preserve">Marketing</t>
  </si>
  <si>
    <t xml:space="preserve">Selling and marketing expenses</t>
  </si>
  <si>
    <t xml:space="preserve">Interest on bank loan</t>
  </si>
  <si>
    <t xml:space="preserve">Finance costs</t>
  </si>
  <si>
    <t xml:space="preserve">Interest</t>
  </si>
  <si>
    <t xml:space="preserve">Current income tax</t>
  </si>
  <si>
    <t xml:space="preserve">Tax</t>
  </si>
  <si>
    <t xml:space="preserve">Income tax expense</t>
  </si>
  <si>
    <t xml:space="preserve">Deferred tax</t>
  </si>
  <si>
    <t xml:space="preserve">Opening trial balance at 1 January</t>
  </si>
  <si>
    <t xml:space="preserve">Debit balances positive, credit balances negative; brought forward from the prior year's audited balances (fictional).</t>
  </si>
  <si>
    <t xml:space="preserve">Balance (Dr + / Cr −)</t>
  </si>
  <si>
    <t xml:space="preserve">Opening balances by party</t>
  </si>
  <si>
    <t xml:space="preserve">Party</t>
  </si>
  <si>
    <t xml:space="preserve">Type</t>
  </si>
  <si>
    <t xml:space="preserve">Balance</t>
  </si>
  <si>
    <t xml:space="preserve">Client A</t>
  </si>
  <si>
    <t xml:space="preserve">Customer</t>
  </si>
  <si>
    <t xml:space="preserve">Contractors</t>
  </si>
  <si>
    <t xml:space="preserve">Supplier</t>
  </si>
  <si>
    <t xml:space="preserve">Total (must be zero)</t>
  </si>
  <si>
    <t xml:space="preserve">Sales register (invoices issued)</t>
  </si>
  <si>
    <t xml:space="preserve">Revenue is recognised when the service is delivered and invoiced: Dr Trade receivables, Cr Revenue (IFRS for SMEs Section 23).</t>
  </si>
  <si>
    <t xml:space="preserve">Date</t>
  </si>
  <si>
    <t xml:space="preserve">Invoice</t>
  </si>
  <si>
    <t xml:space="preserve">Description</t>
  </si>
  <si>
    <t xml:space="preserve">Revenue code</t>
  </si>
  <si>
    <t xml:space="preserve">Amount</t>
  </si>
  <si>
    <t xml:space="preserve">INV-001</t>
  </si>
  <si>
    <t xml:space="preserve">Client B</t>
  </si>
  <si>
    <t xml:space="preserve">IT support - January</t>
  </si>
  <si>
    <t xml:space="preserve">INV-101</t>
  </si>
  <si>
    <t xml:space="preserve">Website build - milestone 1 delivered</t>
  </si>
  <si>
    <t xml:space="preserve">INV-002</t>
  </si>
  <si>
    <t xml:space="preserve">IT support - February</t>
  </si>
  <si>
    <t xml:space="preserve">INV-003</t>
  </si>
  <si>
    <t xml:space="preserve">IT support - March</t>
  </si>
  <si>
    <t xml:space="preserve">INV-102</t>
  </si>
  <si>
    <t xml:space="preserve">Website build - final delivery</t>
  </si>
  <si>
    <t xml:space="preserve">INV-004</t>
  </si>
  <si>
    <t xml:space="preserve">IT support - April</t>
  </si>
  <si>
    <t xml:space="preserve">INV-103</t>
  </si>
  <si>
    <t xml:space="preserve">Training participants</t>
  </si>
  <si>
    <t xml:space="preserve">Digital skills training - cohort 1</t>
  </si>
  <si>
    <t xml:space="preserve">INV-005</t>
  </si>
  <si>
    <t xml:space="preserve">IT support - May</t>
  </si>
  <si>
    <t xml:space="preserve">INV-006</t>
  </si>
  <si>
    <t xml:space="preserve">IT support - June</t>
  </si>
  <si>
    <t xml:space="preserve">INV-104</t>
  </si>
  <si>
    <t xml:space="preserve">Client C</t>
  </si>
  <si>
    <t xml:space="preserve">Mobile app - milestone 1 delivered</t>
  </si>
  <si>
    <t xml:space="preserve">INV-007</t>
  </si>
  <si>
    <t xml:space="preserve">IT support - July</t>
  </si>
  <si>
    <t xml:space="preserve">INV-008</t>
  </si>
  <si>
    <t xml:space="preserve">IT support - August</t>
  </si>
  <si>
    <t xml:space="preserve">INV-105</t>
  </si>
  <si>
    <t xml:space="preserve">Mobile app - final delivery</t>
  </si>
  <si>
    <t xml:space="preserve">INV-009</t>
  </si>
  <si>
    <t xml:space="preserve">IT support - September</t>
  </si>
  <si>
    <t xml:space="preserve">INV-106</t>
  </si>
  <si>
    <t xml:space="preserve">Digital skills training - cohort 2</t>
  </si>
  <si>
    <t xml:space="preserve">INV-010</t>
  </si>
  <si>
    <t xml:space="preserve">IT support - October</t>
  </si>
  <si>
    <t xml:space="preserve">INV-107</t>
  </si>
  <si>
    <t xml:space="preserve">Client D</t>
  </si>
  <si>
    <t xml:space="preserve">Website build delivered</t>
  </si>
  <si>
    <t xml:space="preserve">INV-011</t>
  </si>
  <si>
    <t xml:space="preserve">IT support - November</t>
  </si>
  <si>
    <t xml:space="preserve">INV-012</t>
  </si>
  <si>
    <t xml:space="preserve">IT support - December</t>
  </si>
  <si>
    <t xml:space="preserve">INV-108</t>
  </si>
  <si>
    <t xml:space="preserve">Digital skills training - cohort 3</t>
  </si>
  <si>
    <t xml:space="preserve">INV-109</t>
  </si>
  <si>
    <t xml:space="preserve">Website maintenance - Q4</t>
  </si>
  <si>
    <t xml:space="preserve">Purchase register (supplier bills received)</t>
  </si>
  <si>
    <t xml:space="preserve">Expenses are recognised when the goods or services are received: Dr Expense, Cr Trade payables.</t>
  </si>
  <si>
    <t xml:space="preserve">Bill ref</t>
  </si>
  <si>
    <t xml:space="preserve">Account code</t>
  </si>
  <si>
    <t xml:space="preserve">B-R01</t>
  </si>
  <si>
    <t xml:space="preserve">Landlord</t>
  </si>
  <si>
    <t xml:space="preserve">Office rent - January</t>
  </si>
  <si>
    <t xml:space="preserve">B-I01</t>
  </si>
  <si>
    <t xml:space="preserve">Internet provider</t>
  </si>
  <si>
    <t xml:space="preserve">Internet - January</t>
  </si>
  <si>
    <t xml:space="preserve">B-E01</t>
  </si>
  <si>
    <t xml:space="preserve">Utility company</t>
  </si>
  <si>
    <t xml:space="preserve">Electricity and water - January</t>
  </si>
  <si>
    <t xml:space="preserve">B-C01</t>
  </si>
  <si>
    <t xml:space="preserve">Contractor services - January</t>
  </si>
  <si>
    <t xml:space="preserve">B-R02</t>
  </si>
  <si>
    <t xml:space="preserve">Office rent - February</t>
  </si>
  <si>
    <t xml:space="preserve">B-S01</t>
  </si>
  <si>
    <t xml:space="preserve">Software vendor</t>
  </si>
  <si>
    <t xml:space="preserve">Annual software subscriptions</t>
  </si>
  <si>
    <t xml:space="preserve">B-I02</t>
  </si>
  <si>
    <t xml:space="preserve">Internet - February</t>
  </si>
  <si>
    <t xml:space="preserve">B-E02</t>
  </si>
  <si>
    <t xml:space="preserve">Electricity and water - February</t>
  </si>
  <si>
    <t xml:space="preserve">B-C02</t>
  </si>
  <si>
    <t xml:space="preserve">Contractor services - February</t>
  </si>
  <si>
    <t xml:space="preserve">B-R03</t>
  </si>
  <si>
    <t xml:space="preserve">Office rent - March</t>
  </si>
  <si>
    <t xml:space="preserve">B-I03</t>
  </si>
  <si>
    <t xml:space="preserve">Internet - March</t>
  </si>
  <si>
    <t xml:space="preserve">B-E03</t>
  </si>
  <si>
    <t xml:space="preserve">Electricity and water - March</t>
  </si>
  <si>
    <t xml:space="preserve">B-C03</t>
  </si>
  <si>
    <t xml:space="preserve">Contractor services - March</t>
  </si>
  <si>
    <t xml:space="preserve">B-R04</t>
  </si>
  <si>
    <t xml:space="preserve">Office rent - April</t>
  </si>
  <si>
    <t xml:space="preserve">B-I04</t>
  </si>
  <si>
    <t xml:space="preserve">Internet - April</t>
  </si>
  <si>
    <t xml:space="preserve">B-E04</t>
  </si>
  <si>
    <t xml:space="preserve">Electricity and water - April</t>
  </si>
  <si>
    <t xml:space="preserve">B-C04</t>
  </si>
  <si>
    <t xml:space="preserve">Contractor services - April</t>
  </si>
  <si>
    <t xml:space="preserve">B-R05</t>
  </si>
  <si>
    <t xml:space="preserve">Office rent - May</t>
  </si>
  <si>
    <t xml:space="preserve">B-M01</t>
  </si>
  <si>
    <t xml:space="preserve">Marketing agency</t>
  </si>
  <si>
    <t xml:space="preserve">Social media campaign</t>
  </si>
  <si>
    <t xml:space="preserve">B-I05</t>
  </si>
  <si>
    <t xml:space="preserve">Internet - May</t>
  </si>
  <si>
    <t xml:space="preserve">B-E05</t>
  </si>
  <si>
    <t xml:space="preserve">Electricity and water - May</t>
  </si>
  <si>
    <t xml:space="preserve">B-C05</t>
  </si>
  <si>
    <t xml:space="preserve">Contractor services - May</t>
  </si>
  <si>
    <t xml:space="preserve">B-R06</t>
  </si>
  <si>
    <t xml:space="preserve">Office rent - June</t>
  </si>
  <si>
    <t xml:space="preserve">B-I06</t>
  </si>
  <si>
    <t xml:space="preserve">Internet - June</t>
  </si>
  <si>
    <t xml:space="preserve">B-E06</t>
  </si>
  <si>
    <t xml:space="preserve">Electricity and water - June</t>
  </si>
  <si>
    <t xml:space="preserve">B-C06</t>
  </si>
  <si>
    <t xml:space="preserve">Contractor services - June</t>
  </si>
  <si>
    <t xml:space="preserve">B-R07</t>
  </si>
  <si>
    <t xml:space="preserve">Office rent - July</t>
  </si>
  <si>
    <t xml:space="preserve">B-T01</t>
  </si>
  <si>
    <t xml:space="preserve">Transport provider</t>
  </si>
  <si>
    <t xml:space="preserve">Client site visits</t>
  </si>
  <si>
    <t xml:space="preserve">B-I07</t>
  </si>
  <si>
    <t xml:space="preserve">Internet - July</t>
  </si>
  <si>
    <t xml:space="preserve">B-E07</t>
  </si>
  <si>
    <t xml:space="preserve">Electricity and water - July</t>
  </si>
  <si>
    <t xml:space="preserve">B-C07</t>
  </si>
  <si>
    <t xml:space="preserve">Contractor services - July</t>
  </si>
  <si>
    <t xml:space="preserve">B-R08</t>
  </si>
  <si>
    <t xml:space="preserve">Office rent - August</t>
  </si>
  <si>
    <t xml:space="preserve">B-I08</t>
  </si>
  <si>
    <t xml:space="preserve">Internet - August</t>
  </si>
  <si>
    <t xml:space="preserve">B-E08</t>
  </si>
  <si>
    <t xml:space="preserve">Electricity and water - August</t>
  </si>
  <si>
    <t xml:space="preserve">B-C08</t>
  </si>
  <si>
    <t xml:space="preserve">Contractor services - August</t>
  </si>
  <si>
    <t xml:space="preserve">B-R09</t>
  </si>
  <si>
    <t xml:space="preserve">Office rent - September</t>
  </si>
  <si>
    <t xml:space="preserve">B-I09</t>
  </si>
  <si>
    <t xml:space="preserve">Internet - September</t>
  </si>
  <si>
    <t xml:space="preserve">B-E09</t>
  </si>
  <si>
    <t xml:space="preserve">Electricity and water - September</t>
  </si>
  <si>
    <t xml:space="preserve">B-C09</t>
  </si>
  <si>
    <t xml:space="preserve">Contractor services - September</t>
  </si>
  <si>
    <t xml:space="preserve">B-R10</t>
  </si>
  <si>
    <t xml:space="preserve">Office rent - October</t>
  </si>
  <si>
    <t xml:space="preserve">B-I10</t>
  </si>
  <si>
    <t xml:space="preserve">Internet - October</t>
  </si>
  <si>
    <t xml:space="preserve">B-E10</t>
  </si>
  <si>
    <t xml:space="preserve">Electricity and water - October</t>
  </si>
  <si>
    <t xml:space="preserve">B-C10</t>
  </si>
  <si>
    <t xml:space="preserve">Contractor services - October</t>
  </si>
  <si>
    <t xml:space="preserve">B-R11</t>
  </si>
  <si>
    <t xml:space="preserve">Office rent - November</t>
  </si>
  <si>
    <t xml:space="preserve">B-I11</t>
  </si>
  <si>
    <t xml:space="preserve">Internet - November</t>
  </si>
  <si>
    <t xml:space="preserve">B-E11</t>
  </si>
  <si>
    <t xml:space="preserve">Electricity and water - November</t>
  </si>
  <si>
    <t xml:space="preserve">B-C11</t>
  </si>
  <si>
    <t xml:space="preserve">Contractor services - November</t>
  </si>
  <si>
    <t xml:space="preserve">B-R12</t>
  </si>
  <si>
    <t xml:space="preserve">Office rent - December</t>
  </si>
  <si>
    <t xml:space="preserve">B-I12</t>
  </si>
  <si>
    <t xml:space="preserve">Internet - December</t>
  </si>
  <si>
    <t xml:space="preserve">B-C12</t>
  </si>
  <si>
    <t xml:space="preserve">Contractor services - December</t>
  </si>
  <si>
    <t xml:space="preserve">Payroll register — Rwanda PAYE and RSSB</t>
  </si>
  <si>
    <t xml:space="preserve">One employee (administration and finance officer). Rates from Settings. Deductions and employer contributions are remitted by the 15th of the following month.</t>
  </si>
  <si>
    <t xml:space="preserve">Month</t>
  </si>
  <si>
    <t xml:space="preserve">Gross salary</t>
  </si>
  <si>
    <t xml:space="preserve">PAYE</t>
  </si>
  <si>
    <t xml:space="preserve">Pension (employee)</t>
  </si>
  <si>
    <t xml:space="preserve">Maternity (employee)</t>
  </si>
  <si>
    <t xml:space="preserve">CBHI (employee)</t>
  </si>
  <si>
    <t xml:space="preserve">Net pay</t>
  </si>
  <si>
    <t xml:space="preserve">Pension (employer)</t>
  </si>
  <si>
    <t xml:space="preserve">Occupational hazards (employer)</t>
  </si>
  <si>
    <t xml:space="preserve">Maternity (employer)</t>
  </si>
  <si>
    <t xml:space="preserve">Employer contributions</t>
  </si>
  <si>
    <t xml:space="preserve">Total to remit (RRA / RSSB)</t>
  </si>
  <si>
    <t xml:space="preserve">Total</t>
  </si>
  <si>
    <t xml:space="preserve">Cash book (bank account)</t>
  </si>
  <si>
    <t xml:space="preserve">Customer receipts are coded 1200 and supplier payments 2100 to clear the control accounts; other lines are coded directly.</t>
  </si>
  <si>
    <t xml:space="preserve">Ref</t>
  </si>
  <si>
    <t xml:space="preserve">Receipt</t>
  </si>
  <si>
    <t xml:space="preserve">Payment</t>
  </si>
  <si>
    <t xml:space="preserve">Running balance</t>
  </si>
  <si>
    <t xml:space="preserve">PV-001</t>
  </si>
  <si>
    <t xml:space="preserve">Payment - rent January</t>
  </si>
  <si>
    <t xml:space="preserve">RC-002</t>
  </si>
  <si>
    <t xml:space="preserve">Receipt - IT support January</t>
  </si>
  <si>
    <t xml:space="preserve">PV-003</t>
  </si>
  <si>
    <t xml:space="preserve">Payment - opening balance</t>
  </si>
  <si>
    <t xml:space="preserve">RC-004</t>
  </si>
  <si>
    <t xml:space="preserve">Receipt - opening balance</t>
  </si>
  <si>
    <t xml:space="preserve">PV-005</t>
  </si>
  <si>
    <t xml:space="preserve">Equipment supplier</t>
  </si>
  <si>
    <t xml:space="preserve">Purchase of laptops</t>
  </si>
  <si>
    <t xml:space="preserve">RC-006</t>
  </si>
  <si>
    <t xml:space="preserve">Receipt - milestone 1</t>
  </si>
  <si>
    <t xml:space="preserve">PV-007</t>
  </si>
  <si>
    <t xml:space="preserve">Payment - internet January</t>
  </si>
  <si>
    <t xml:space="preserve">PV-008</t>
  </si>
  <si>
    <t xml:space="preserve">Payment - electricity and water January</t>
  </si>
  <si>
    <t xml:space="preserve">PV-009</t>
  </si>
  <si>
    <t xml:space="preserve">Payment - contractor services January</t>
  </si>
  <si>
    <t xml:space="preserve">PV-010</t>
  </si>
  <si>
    <t xml:space="preserve">Employee</t>
  </si>
  <si>
    <t xml:space="preserve">Net salary January</t>
  </si>
  <si>
    <t xml:space="preserve">PV-011</t>
  </si>
  <si>
    <t xml:space="preserve">Payment - rent February</t>
  </si>
  <si>
    <t xml:space="preserve">RC-012</t>
  </si>
  <si>
    <t xml:space="preserve">Receipt - IT support February</t>
  </si>
  <si>
    <t xml:space="preserve">PV-013</t>
  </si>
  <si>
    <t xml:space="preserve">RRA / RSSB</t>
  </si>
  <si>
    <t xml:space="preserve">PAYE and RSSB contributions for January</t>
  </si>
  <si>
    <t xml:space="preserve">PV-014</t>
  </si>
  <si>
    <t xml:space="preserve">Payment - software subscriptions</t>
  </si>
  <si>
    <t xml:space="preserve">PV-015</t>
  </si>
  <si>
    <t xml:space="preserve">Payment - internet February</t>
  </si>
  <si>
    <t xml:space="preserve">PV-016</t>
  </si>
  <si>
    <t xml:space="preserve">Payment - electricity and water February</t>
  </si>
  <si>
    <t xml:space="preserve">PV-017</t>
  </si>
  <si>
    <t xml:space="preserve">Payment - contractor services February</t>
  </si>
  <si>
    <t xml:space="preserve">PV-018</t>
  </si>
  <si>
    <t xml:space="preserve">Net salary February</t>
  </si>
  <si>
    <t xml:space="preserve">PV-019</t>
  </si>
  <si>
    <t xml:space="preserve">Payment - rent March</t>
  </si>
  <si>
    <t xml:space="preserve">RC-020</t>
  </si>
  <si>
    <t xml:space="preserve">Receipt - IT support March</t>
  </si>
  <si>
    <t xml:space="preserve">PV-021</t>
  </si>
  <si>
    <t xml:space="preserve">PAYE and RSSB contributions for February</t>
  </si>
  <si>
    <t xml:space="preserve">PV-022</t>
  </si>
  <si>
    <t xml:space="preserve">District</t>
  </si>
  <si>
    <t xml:space="preserve">Trading licence</t>
  </si>
  <si>
    <t xml:space="preserve">PV-023</t>
  </si>
  <si>
    <t xml:space="preserve">Payment - internet March</t>
  </si>
  <si>
    <t xml:space="preserve">RC-024</t>
  </si>
  <si>
    <t xml:space="preserve">Receipt - final delivery</t>
  </si>
  <si>
    <t xml:space="preserve">PV-025</t>
  </si>
  <si>
    <t xml:space="preserve">Payment - electricity and water March</t>
  </si>
  <si>
    <t xml:space="preserve">PV-026</t>
  </si>
  <si>
    <t xml:space="preserve">Payment - contractor services March</t>
  </si>
  <si>
    <t xml:space="preserve">PV-027</t>
  </si>
  <si>
    <t xml:space="preserve">Net salary March</t>
  </si>
  <si>
    <t xml:space="preserve">PV-028</t>
  </si>
  <si>
    <t xml:space="preserve">RRA</t>
  </si>
  <si>
    <t xml:space="preserve">Corporate income tax - balance for prior year</t>
  </si>
  <si>
    <t xml:space="preserve">RC-029</t>
  </si>
  <si>
    <t xml:space="preserve">Term loan drawn down</t>
  </si>
  <si>
    <t xml:space="preserve">PV-030</t>
  </si>
  <si>
    <t xml:space="preserve">Payment - rent April</t>
  </si>
  <si>
    <t xml:space="preserve">PV-031</t>
  </si>
  <si>
    <t xml:space="preserve">Vehicle dealer</t>
  </si>
  <si>
    <t xml:space="preserve">Purchase of motor vehicle</t>
  </si>
  <si>
    <t xml:space="preserve">RC-032</t>
  </si>
  <si>
    <t xml:space="preserve">Receipt - IT support April</t>
  </si>
  <si>
    <t xml:space="preserve">RC-033</t>
  </si>
  <si>
    <t xml:space="preserve">Receipt - training cohort 1</t>
  </si>
  <si>
    <t xml:space="preserve">PV-034</t>
  </si>
  <si>
    <t xml:space="preserve">PAYE and RSSB contributions for March</t>
  </si>
  <si>
    <t xml:space="preserve">PV-035</t>
  </si>
  <si>
    <t xml:space="preserve">Payment - internet April</t>
  </si>
  <si>
    <t xml:space="preserve">PV-036</t>
  </si>
  <si>
    <t xml:space="preserve">Payment - electricity and water April</t>
  </si>
  <si>
    <t xml:space="preserve">PV-037</t>
  </si>
  <si>
    <t xml:space="preserve">Payment - contractor services April</t>
  </si>
  <si>
    <t xml:space="preserve">PV-038</t>
  </si>
  <si>
    <t xml:space="preserve">Net salary April</t>
  </si>
  <si>
    <t xml:space="preserve">PV-039</t>
  </si>
  <si>
    <t xml:space="preserve">Payment - rent May</t>
  </si>
  <si>
    <t xml:space="preserve">RC-040</t>
  </si>
  <si>
    <t xml:space="preserve">Receipt - IT support May</t>
  </si>
  <si>
    <t xml:space="preserve">PV-041</t>
  </si>
  <si>
    <t xml:space="preserve">PAYE and RSSB contributions for April</t>
  </si>
  <si>
    <t xml:space="preserve">PV-042</t>
  </si>
  <si>
    <t xml:space="preserve">Payment - campaign</t>
  </si>
  <si>
    <t xml:space="preserve">PV-043</t>
  </si>
  <si>
    <t xml:space="preserve">Payment - internet May</t>
  </si>
  <si>
    <t xml:space="preserve">PV-044</t>
  </si>
  <si>
    <t xml:space="preserve">Payment - electricity and water May</t>
  </si>
  <si>
    <t xml:space="preserve">PV-045</t>
  </si>
  <si>
    <t xml:space="preserve">Payment - contractor services May</t>
  </si>
  <si>
    <t xml:space="preserve">PV-046</t>
  </si>
  <si>
    <t xml:space="preserve">Net salary May</t>
  </si>
  <si>
    <t xml:space="preserve">PV-047</t>
  </si>
  <si>
    <t xml:space="preserve">Payment - rent June</t>
  </si>
  <si>
    <t xml:space="preserve">RC-048</t>
  </si>
  <si>
    <t xml:space="preserve">Receipt - IT support June</t>
  </si>
  <si>
    <t xml:space="preserve">PV-049</t>
  </si>
  <si>
    <t xml:space="preserve">PAYE and RSSB contributions for May</t>
  </si>
  <si>
    <t xml:space="preserve">PV-050</t>
  </si>
  <si>
    <t xml:space="preserve">Payment - internet June</t>
  </si>
  <si>
    <t xml:space="preserve">RC-051</t>
  </si>
  <si>
    <t xml:space="preserve">Receipt - app milestone 1</t>
  </si>
  <si>
    <t xml:space="preserve">PV-052</t>
  </si>
  <si>
    <t xml:space="preserve">Payment - electricity and water June</t>
  </si>
  <si>
    <t xml:space="preserve">PV-053</t>
  </si>
  <si>
    <t xml:space="preserve">Payment - contractor services June</t>
  </si>
  <si>
    <t xml:space="preserve">PV-054</t>
  </si>
  <si>
    <t xml:space="preserve">Net salary June</t>
  </si>
  <si>
    <t xml:space="preserve">PV-055</t>
  </si>
  <si>
    <t xml:space="preserve">Corporate income tax - quarterly prepayment</t>
  </si>
  <si>
    <t xml:space="preserve">PV-056</t>
  </si>
  <si>
    <t xml:space="preserve">Loan principal repayment</t>
  </si>
  <si>
    <t xml:space="preserve">PV-057</t>
  </si>
  <si>
    <t xml:space="preserve">Loan interest</t>
  </si>
  <si>
    <t xml:space="preserve">PV-058</t>
  </si>
  <si>
    <t xml:space="preserve">Payment - rent July</t>
  </si>
  <si>
    <t xml:space="preserve">RC-059</t>
  </si>
  <si>
    <t xml:space="preserve">Receipt - IT support July</t>
  </si>
  <si>
    <t xml:space="preserve">PV-060</t>
  </si>
  <si>
    <t xml:space="preserve">PAYE and RSSB contributions for June</t>
  </si>
  <si>
    <t xml:space="preserve">PV-061</t>
  </si>
  <si>
    <t xml:space="preserve">Payment - internet July</t>
  </si>
  <si>
    <t xml:space="preserve">PV-062</t>
  </si>
  <si>
    <t xml:space="preserve">Payment - transport</t>
  </si>
  <si>
    <t xml:space="preserve">PV-063</t>
  </si>
  <si>
    <t xml:space="preserve">Payment - electricity and water July</t>
  </si>
  <si>
    <t xml:space="preserve">PV-064</t>
  </si>
  <si>
    <t xml:space="preserve">Payment - contractor services July</t>
  </si>
  <si>
    <t xml:space="preserve">PV-065</t>
  </si>
  <si>
    <t xml:space="preserve">Net salary July</t>
  </si>
  <si>
    <t xml:space="preserve">PV-066</t>
  </si>
  <si>
    <t xml:space="preserve">Payment - rent August</t>
  </si>
  <si>
    <t xml:space="preserve">RC-067</t>
  </si>
  <si>
    <t xml:space="preserve">Receipt - IT support August</t>
  </si>
  <si>
    <t xml:space="preserve">PV-068</t>
  </si>
  <si>
    <t xml:space="preserve">PAYE and RSSB contributions for July</t>
  </si>
  <si>
    <t xml:space="preserve">PV-069</t>
  </si>
  <si>
    <t xml:space="preserve">Payment - internet August</t>
  </si>
  <si>
    <t xml:space="preserve">RC-070</t>
  </si>
  <si>
    <t xml:space="preserve">Receipt - app final delivery</t>
  </si>
  <si>
    <t xml:space="preserve">PV-071</t>
  </si>
  <si>
    <t xml:space="preserve">Payment - electricity and water August</t>
  </si>
  <si>
    <t xml:space="preserve">PV-072</t>
  </si>
  <si>
    <t xml:space="preserve">Payment - contractor services August</t>
  </si>
  <si>
    <t xml:space="preserve">PV-073</t>
  </si>
  <si>
    <t xml:space="preserve">Net salary August</t>
  </si>
  <si>
    <t xml:space="preserve">PV-074</t>
  </si>
  <si>
    <t xml:space="preserve">Payment - rent September</t>
  </si>
  <si>
    <t xml:space="preserve">RC-075</t>
  </si>
  <si>
    <t xml:space="preserve">Receipt - IT support September</t>
  </si>
  <si>
    <t xml:space="preserve">PV-076</t>
  </si>
  <si>
    <t xml:space="preserve">PAYE and RSSB contributions for August</t>
  </si>
  <si>
    <t xml:space="preserve">RC-077</t>
  </si>
  <si>
    <t xml:space="preserve">Receipt - training cohort 2</t>
  </si>
  <si>
    <t xml:space="preserve">PV-078</t>
  </si>
  <si>
    <t xml:space="preserve">Payment - internet September</t>
  </si>
  <si>
    <t xml:space="preserve">PV-079</t>
  </si>
  <si>
    <t xml:space="preserve">Payment - electricity and water September</t>
  </si>
  <si>
    <t xml:space="preserve">PV-080</t>
  </si>
  <si>
    <t xml:space="preserve">Payment - contractor services September</t>
  </si>
  <si>
    <t xml:space="preserve">PV-081</t>
  </si>
  <si>
    <t xml:space="preserve">Net salary September</t>
  </si>
  <si>
    <t xml:space="preserve">PV-082</t>
  </si>
  <si>
    <t xml:space="preserve">PV-083</t>
  </si>
  <si>
    <t xml:space="preserve">Shareholders</t>
  </si>
  <si>
    <t xml:space="preserve">Dividend paid</t>
  </si>
  <si>
    <t xml:space="preserve">PV-084</t>
  </si>
  <si>
    <t xml:space="preserve">PV-085</t>
  </si>
  <si>
    <t xml:space="preserve">PV-086</t>
  </si>
  <si>
    <t xml:space="preserve">Payment - rent October</t>
  </si>
  <si>
    <t xml:space="preserve">RC-087</t>
  </si>
  <si>
    <t xml:space="preserve">Receipt - IT support October</t>
  </si>
  <si>
    <t xml:space="preserve">PV-088</t>
  </si>
  <si>
    <t xml:space="preserve">PAYE and RSSB contributions for September</t>
  </si>
  <si>
    <t xml:space="preserve">PV-089</t>
  </si>
  <si>
    <t xml:space="preserve">Purchase of printer</t>
  </si>
  <si>
    <t xml:space="preserve">PV-090</t>
  </si>
  <si>
    <t xml:space="preserve">Payment - internet October</t>
  </si>
  <si>
    <t xml:space="preserve">PV-091</t>
  </si>
  <si>
    <t xml:space="preserve">Payment - electricity and water October</t>
  </si>
  <si>
    <t xml:space="preserve">PV-092</t>
  </si>
  <si>
    <t xml:space="preserve">Payment - contractor services October</t>
  </si>
  <si>
    <t xml:space="preserve">PV-093</t>
  </si>
  <si>
    <t xml:space="preserve">Net salary October</t>
  </si>
  <si>
    <t xml:space="preserve">PV-094</t>
  </si>
  <si>
    <t xml:space="preserve">Payment - rent November</t>
  </si>
  <si>
    <t xml:space="preserve">RC-095</t>
  </si>
  <si>
    <t xml:space="preserve">Receipt - IT support November</t>
  </si>
  <si>
    <t xml:space="preserve">RC-096</t>
  </si>
  <si>
    <t xml:space="preserve">Receipt - website build</t>
  </si>
  <si>
    <t xml:space="preserve">PV-097</t>
  </si>
  <si>
    <t xml:space="preserve">PAYE and RSSB contributions for October</t>
  </si>
  <si>
    <t xml:space="preserve">PV-098</t>
  </si>
  <si>
    <t xml:space="preserve">Payment - internet November</t>
  </si>
  <si>
    <t xml:space="preserve">PV-099</t>
  </si>
  <si>
    <t xml:space="preserve">Payment - electricity and water November</t>
  </si>
  <si>
    <t xml:space="preserve">PV-100</t>
  </si>
  <si>
    <t xml:space="preserve">Payment - contractor services November</t>
  </si>
  <si>
    <t xml:space="preserve">PV-101</t>
  </si>
  <si>
    <t xml:space="preserve">Net salary November</t>
  </si>
  <si>
    <t xml:space="preserve">PV-102</t>
  </si>
  <si>
    <t xml:space="preserve">Payment - rent December</t>
  </si>
  <si>
    <t xml:space="preserve">PV-103</t>
  </si>
  <si>
    <t xml:space="preserve">PAYE and RSSB contributions for November</t>
  </si>
  <si>
    <t xml:space="preserve">RC-104</t>
  </si>
  <si>
    <t xml:space="preserve">Receipt - training cohort 3</t>
  </si>
  <si>
    <t xml:space="preserve">PV-105</t>
  </si>
  <si>
    <t xml:space="preserve">Payment - internet December</t>
  </si>
  <si>
    <t xml:space="preserve">PV-106</t>
  </si>
  <si>
    <t xml:space="preserve">Net salary December</t>
  </si>
  <si>
    <t xml:space="preserve">PV-107</t>
  </si>
  <si>
    <t xml:space="preserve">Rent paid in advance for January next year</t>
  </si>
  <si>
    <t xml:space="preserve">PV-108</t>
  </si>
  <si>
    <t xml:space="preserve">PV-109</t>
  </si>
  <si>
    <t xml:space="preserve">Bank charges for the year</t>
  </si>
  <si>
    <t xml:space="preserve">PV-110</t>
  </si>
  <si>
    <t xml:space="preserve">PV-111</t>
  </si>
  <si>
    <t xml:space="preserve">Fixed asset register and depreciation</t>
  </si>
  <si>
    <t xml:space="preserve">Accounting: cost less straight-line depreciation, nil residual value, full month charged in the month of acquisition (Section 17). Tax class drives Rwandan wear and tear.</t>
  </si>
  <si>
    <t xml:space="preserve">Forecast depreciation of existing assets (used by the three-statement model)</t>
  </si>
  <si>
    <t xml:space="preserve">Acquired</t>
  </si>
  <si>
    <t xml:space="preserve">Cost</t>
  </si>
  <si>
    <t xml:space="preserve">Useful life (years)</t>
  </si>
  <si>
    <t xml:space="preserve">Tax class</t>
  </si>
  <si>
    <t xml:space="preserve">Months used before this year</t>
  </si>
  <si>
    <t xml:space="preserve">Accum. depreciation b/f</t>
  </si>
  <si>
    <t xml:space="preserve">Months used this year</t>
  </si>
  <si>
    <t xml:space="preserve">Depreciation this year</t>
  </si>
  <si>
    <t xml:space="preserve">Accum. depreciation c/f</t>
  </si>
  <si>
    <t xml:space="preserve">Carrying amount</t>
  </si>
  <si>
    <t xml:space="preserve">Computers and furniture (2023)</t>
  </si>
  <si>
    <t xml:space="preserve">Computers and ICT</t>
  </si>
  <si>
    <t xml:space="preserve">Laptops</t>
  </si>
  <si>
    <t xml:space="preserve">Motor vehicle</t>
  </si>
  <si>
    <t xml:space="preserve">Other business assets</t>
  </si>
  <si>
    <t xml:space="preserve">Printer</t>
  </si>
  <si>
    <t xml:space="preserve">Bank loan schedule</t>
  </si>
  <si>
    <t xml:space="preserve">Term loan for the motor vehicle and working capital: quarterly principal plus interest on the reducing balance.</t>
  </si>
  <si>
    <t xml:space="preserve">Amount drawn</t>
  </si>
  <si>
    <t xml:space="preserve">Drawdown date</t>
  </si>
  <si>
    <t xml:space="preserve">Interest rate (annual, fixed)</t>
  </si>
  <si>
    <t xml:space="preserve">Quarterly principal repayment</t>
  </si>
  <si>
    <t xml:space="preserve">Security</t>
  </si>
  <si>
    <t xml:space="preserve">Charge over the motor vehicle</t>
  </si>
  <si>
    <t xml:space="preserve">Quarter</t>
  </si>
  <si>
    <t xml:space="preserve">Due date</t>
  </si>
  <si>
    <t xml:space="preserve">Year</t>
  </si>
  <si>
    <t xml:space="preserve">Opening balance</t>
  </si>
  <si>
    <t xml:space="preserve">Principal</t>
  </si>
  <si>
    <t xml:space="preserve">Closing balance</t>
  </si>
  <si>
    <t xml:space="preserve">Summary by year</t>
  </si>
  <si>
    <t xml:space="preserve">Principal repaid</t>
  </si>
  <si>
    <t xml:space="preserve">Due within 12 months</t>
  </si>
  <si>
    <t xml:space="preserve">Corporate income tax computation and deferred tax (Rwanda)</t>
  </si>
  <si>
    <t xml:space="preserve">Accounting depreciation is added back and replaced by wear and tear allowances on reducing-balance pools; a full allowance is taken in the year an asset is acquired (assumption).</t>
  </si>
  <si>
    <t xml:space="preserve">Wear and tear pools</t>
  </si>
  <si>
    <t xml:space="preserve">Pool</t>
  </si>
  <si>
    <t xml:space="preserve">Rate</t>
  </si>
  <si>
    <t xml:space="preserve">Opening tax value</t>
  </si>
  <si>
    <t xml:space="preserve">Additions</t>
  </si>
  <si>
    <t xml:space="preserve">Allowance</t>
  </si>
  <si>
    <t xml:space="preserve">Closing tax value</t>
  </si>
  <si>
    <t xml:space="preserve">Taxable income</t>
  </si>
  <si>
    <t xml:space="preserve">Profit before tax</t>
  </si>
  <si>
    <t xml:space="preserve">Add: accounting depreciation</t>
  </si>
  <si>
    <t xml:space="preserve">Add: non-deductible expenses (fines, penalties, private costs)</t>
  </si>
  <si>
    <t xml:space="preserve">Less: wear and tear allowances</t>
  </si>
  <si>
    <t xml:space="preserve">Current income tax at the corporate rate</t>
  </si>
  <si>
    <t xml:space="preserve">Deferred tax (temporary differences on PPE)</t>
  </si>
  <si>
    <t xml:space="preserve">Carrying amount of property, plant and equipment</t>
  </si>
  <si>
    <t xml:space="preserve">Tax base (closing tax values)</t>
  </si>
  <si>
    <t xml:space="preserve">Taxable temporary difference</t>
  </si>
  <si>
    <t xml:space="preserve">Deferred tax liability at year end</t>
  </si>
  <si>
    <t xml:space="preserve">Deferred tax liability at start of year</t>
  </si>
  <si>
    <t xml:space="preserve">Deferred tax charge / (credit) for the year</t>
  </si>
  <si>
    <t xml:space="preserve">Current tax account</t>
  </si>
  <si>
    <t xml:space="preserve">Payable at start of year</t>
  </si>
  <si>
    <t xml:space="preserve">Current tax for the year</t>
  </si>
  <si>
    <t xml:space="preserve">Paid: prior-year balance and quarterly prepayments</t>
  </si>
  <si>
    <t xml:space="preserve">Payable / (recoverable) at year end</t>
  </si>
  <si>
    <t xml:space="preserve">General journal — period-end entries</t>
  </si>
  <si>
    <t xml:space="preserve">Every entry balances. Amounts in green are linked to the supporting sheet.</t>
  </si>
  <si>
    <t xml:space="preserve">Debit</t>
  </si>
  <si>
    <t xml:space="preserve">Credit</t>
  </si>
  <si>
    <t xml:space="preserve">JV-01</t>
  </si>
  <si>
    <t xml:space="preserve">Depreciation for the year</t>
  </si>
  <si>
    <t xml:space="preserve">JV-02</t>
  </si>
  <si>
    <t xml:space="preserve">Accrue December electricity and water (bill not yet received)</t>
  </si>
  <si>
    <t xml:space="preserve">JV-03</t>
  </si>
  <si>
    <t xml:space="preserve">Payroll for the year - gross salaries</t>
  </si>
  <si>
    <t xml:space="preserve">Payroll for the year - employer RSSB contributions</t>
  </si>
  <si>
    <t xml:space="preserve">Payroll for the year - net pay due to employee</t>
  </si>
  <si>
    <t xml:space="preserve">Payroll for the year - PAYE and RSSB due</t>
  </si>
  <si>
    <t xml:space="preserve">JV-04</t>
  </si>
  <si>
    <t xml:space="preserve">Current income tax for the year</t>
  </si>
  <si>
    <t xml:space="preserve">JV-05</t>
  </si>
  <si>
    <t xml:space="preserve">Deferred tax charge for the year</t>
  </si>
  <si>
    <t xml:space="preserve">Totals</t>
  </si>
  <si>
    <t xml:space="preserve">Built entirely by formula: opening + debits − credits from the registers, payroll, cash book and journals. Debit balances positive.</t>
  </si>
  <si>
    <t xml:space="preserve">Opening</t>
  </si>
  <si>
    <t xml:space="preserve">Debits</t>
  </si>
  <si>
    <t xml:space="preserve">Credits</t>
  </si>
  <si>
    <t xml:space="preserve">Closing</t>
  </si>
  <si>
    <t xml:space="preserve">Closing Dr</t>
  </si>
  <si>
    <t xml:space="preserve">Closing Cr</t>
  </si>
  <si>
    <t xml:space="preserve">In Rwandan francs</t>
  </si>
  <si>
    <t xml:space="preserve">Note</t>
  </si>
  <si>
    <t xml:space="preserve">ASSETS</t>
  </si>
  <si>
    <t xml:space="preserve">Non-current assets</t>
  </si>
  <si>
    <t xml:space="preserve">9</t>
  </si>
  <si>
    <t xml:space="preserve">Total non-current assets</t>
  </si>
  <si>
    <t xml:space="preserve">Current assets</t>
  </si>
  <si>
    <t xml:space="preserve">10</t>
  </si>
  <si>
    <t xml:space="preserve">Current income tax recoverable</t>
  </si>
  <si>
    <t xml:space="preserve">8</t>
  </si>
  <si>
    <t xml:space="preserve">Total current assets</t>
  </si>
  <si>
    <t xml:space="preserve">TOTAL ASSETS</t>
  </si>
  <si>
    <t xml:space="preserve">EQUITY AND LIABILITIES</t>
  </si>
  <si>
    <t xml:space="preserve">13</t>
  </si>
  <si>
    <t xml:space="preserve">Total equity</t>
  </si>
  <si>
    <t xml:space="preserve">Non-current liabilities</t>
  </si>
  <si>
    <t xml:space="preserve">11</t>
  </si>
  <si>
    <t xml:space="preserve">Total non-current liabilities</t>
  </si>
  <si>
    <t xml:space="preserve">Current liabilities</t>
  </si>
  <si>
    <t xml:space="preserve">12</t>
  </si>
  <si>
    <t xml:space="preserve">Borrowings - current portion</t>
  </si>
  <si>
    <t xml:space="preserve">Total current liabilities</t>
  </si>
  <si>
    <t xml:space="preserve">Total liabilities</t>
  </si>
  <si>
    <t xml:space="preserve">TOTAL EQUITY AND LIABILITIES</t>
  </si>
  <si>
    <t xml:space="preserve">Difference (must be zero)</t>
  </si>
  <si>
    <t xml:space="preserve">3</t>
  </si>
  <si>
    <t xml:space="preserve">4</t>
  </si>
  <si>
    <t xml:space="preserve">Gross profit</t>
  </si>
  <si>
    <t xml:space="preserve">5</t>
  </si>
  <si>
    <t xml:space="preserve">Operating profit</t>
  </si>
  <si>
    <t xml:space="preserve">Finance income</t>
  </si>
  <si>
    <t xml:space="preserve">7</t>
  </si>
  <si>
    <t xml:space="preserve">Net finance costs</t>
  </si>
  <si>
    <t xml:space="preserve">Profit for the year</t>
  </si>
  <si>
    <t xml:space="preserve">Other comprehensive income</t>
  </si>
  <si>
    <t xml:space="preserve">Total comprehensive income for the year</t>
  </si>
  <si>
    <t xml:space="preserve">Expenses are presented by function; see note 6 for expenses by nature.</t>
  </si>
  <si>
    <t xml:space="preserve">Shares issued</t>
  </si>
  <si>
    <t xml:space="preserve">Dividends declared and paid</t>
  </si>
  <si>
    <t xml:space="preserve">Cash flows from operating activities</t>
  </si>
  <si>
    <t xml:space="preserve">Adjustments for:</t>
  </si>
  <si>
    <t xml:space="preserve">  Depreciation</t>
  </si>
  <si>
    <t xml:space="preserve">  Finance costs</t>
  </si>
  <si>
    <t xml:space="preserve">Changes in working capital:</t>
  </si>
  <si>
    <t xml:space="preserve">  (Increase) / decrease in trade and other receivables</t>
  </si>
  <si>
    <t xml:space="preserve">  (Increase) / decrease in prepayments</t>
  </si>
  <si>
    <t xml:space="preserve">  Increase / (decrease) in trade and other payables</t>
  </si>
  <si>
    <t xml:space="preserve">  Increase / (decrease) in PAYE and social security payable</t>
  </si>
  <si>
    <t xml:space="preserve">Cash generated from operations</t>
  </si>
  <si>
    <t xml:space="preserve">Interest paid</t>
  </si>
  <si>
    <t xml:space="preserve">Income tax paid</t>
  </si>
  <si>
    <t xml:space="preserve">Net cash from operating activities</t>
  </si>
  <si>
    <t xml:space="preserve">Cash flows from investing activities</t>
  </si>
  <si>
    <t xml:space="preserve">Purchase of property, plant and equipment</t>
  </si>
  <si>
    <t xml:space="preserve">Net cash used in investing activities</t>
  </si>
  <si>
    <t xml:space="preserve">Cash flows from financing activities</t>
  </si>
  <si>
    <t xml:space="preserve">Proceeds from borrowings</t>
  </si>
  <si>
    <t xml:space="preserve">Repayment of borrowings</t>
  </si>
  <si>
    <t xml:space="preserve">Proceeds from issue of shares</t>
  </si>
  <si>
    <t xml:space="preserve">Dividends paid</t>
  </si>
  <si>
    <t xml:space="preserve">Net cash from / (used in) financing activities</t>
  </si>
  <si>
    <t xml:space="preserve">Net increase / (decrease) in cash and cash equivalents</t>
  </si>
  <si>
    <t xml:space="preserve">Interest paid is classified as operating (IFRS for SMEs para 7.14).</t>
  </si>
  <si>
    <t xml:space="preserve">1. Reporting entity and basis of preparation</t>
  </si>
  <si>
    <t xml:space="preserve">The company is a private limited company incorporated in Rwanda under Law Nº 007/2021 of 05/02/2021 governing companies.</t>
  </si>
  <si>
    <t xml:space="preserve">The financial statements are prepared under the IFRS for SMEs Accounting Standard, on the accrual basis and the historical cost convention,</t>
  </si>
  <si>
    <t xml:space="preserve">and are presented in Rwandan francs. (Illustrative: comparative figures are omitted.)</t>
  </si>
  <si>
    <t xml:space="preserve">2. Material accounting policies</t>
  </si>
  <si>
    <t xml:space="preserve">Revenue: recognised when the service is delivered; training fees when the course is delivered.</t>
  </si>
  <si>
    <t xml:space="preserve">Property, plant and equipment: cost less straight-line depreciation (computers 3-4 years, vehicle 5 years), nil residual value.</t>
  </si>
  <si>
    <t xml:space="preserve">Financial instruments: trade receivables, payables and the bank loan are basic instruments at transaction amount; loan interest at the contractual rate.</t>
  </si>
  <si>
    <t xml:space="preserve">Employee benefits: salaries and employer RSSB contributions are expensed as the service is rendered.</t>
  </si>
  <si>
    <t xml:space="preserve">Income tax: current tax under Rwandan income tax law at 28%; deferred tax on temporary differences between PPE carrying amounts and tax values.</t>
  </si>
  <si>
    <t xml:space="preserve">3. Revenue</t>
  </si>
  <si>
    <t xml:space="preserve">Total revenue</t>
  </si>
  <si>
    <t xml:space="preserve">4. Cost of sales</t>
  </si>
  <si>
    <t xml:space="preserve">Total cost of sales</t>
  </si>
  <si>
    <t xml:space="preserve">5. Administrative, selling and marketing expenses</t>
  </si>
  <si>
    <t xml:space="preserve">Total administrative expenses</t>
  </si>
  <si>
    <t xml:space="preserve">6. Expenses by nature</t>
  </si>
  <si>
    <t xml:space="preserve">Total operating expenses</t>
  </si>
  <si>
    <t xml:space="preserve">Of which employee benefits: salaries</t>
  </si>
  <si>
    <t xml:space="preserve">Of which employee benefits: employer RSSB contributions</t>
  </si>
  <si>
    <t xml:space="preserve">Number of employees at year end</t>
  </si>
  <si>
    <t xml:space="preserve">7. Finance costs</t>
  </si>
  <si>
    <t xml:space="preserve">8. Income tax</t>
  </si>
  <si>
    <t xml:space="preserve">Reconciliation of tax expense</t>
  </si>
  <si>
    <t xml:space="preserve">Tax at 28%</t>
  </si>
  <si>
    <t xml:space="preserve">Tax effect of non-deductible expenses</t>
  </si>
  <si>
    <t xml:space="preserve">Rounding</t>
  </si>
  <si>
    <t xml:space="preserve">Current tax payable / (recoverable) at year end</t>
  </si>
  <si>
    <t xml:space="preserve">9. Property, plant and equipment</t>
  </si>
  <si>
    <t xml:space="preserve">Cost at 1 January</t>
  </si>
  <si>
    <t xml:space="preserve">Cost at 31 December</t>
  </si>
  <si>
    <t xml:space="preserve">Accumulated depreciation at 1 January</t>
  </si>
  <si>
    <t xml:space="preserve">Charge for the year</t>
  </si>
  <si>
    <t xml:space="preserve">Accumulated depreciation at 31 December</t>
  </si>
  <si>
    <t xml:space="preserve">Carrying amount at 31 December</t>
  </si>
  <si>
    <t xml:space="preserve">10. Trade and other receivables</t>
  </si>
  <si>
    <t xml:space="preserve">Total trade receivables</t>
  </si>
  <si>
    <t xml:space="preserve">11. Borrowings</t>
  </si>
  <si>
    <t xml:space="preserve">Term loan from a commercial bank, fixed 16%, quarterly instalments, secured on the motor vehicle</t>
  </si>
  <si>
    <t xml:space="preserve">Balance at 1 January</t>
  </si>
  <si>
    <t xml:space="preserve">Drawn during the year</t>
  </si>
  <si>
    <t xml:space="preserve">Repaid during the year</t>
  </si>
  <si>
    <t xml:space="preserve">Balance at 31 December</t>
  </si>
  <si>
    <t xml:space="preserve">Of which: current portion (due within 12 months)</t>
  </si>
  <si>
    <t xml:space="preserve">Of which: non-current portion</t>
  </si>
  <si>
    <t xml:space="preserve">12. Trade and other payables; PAYE and social security payable</t>
  </si>
  <si>
    <t xml:space="preserve">Total trade and other payables</t>
  </si>
  <si>
    <t xml:space="preserve">PAYE and RSSB contributions for December, due by 15 January</t>
  </si>
  <si>
    <t xml:space="preserve">13. Share capital</t>
  </si>
  <si>
    <t xml:space="preserve">Issued and fully paid: 1,000 ordinary shares of RWF 1,000 each</t>
  </si>
  <si>
    <t xml:space="preserve">Integrated three-statement model: actual year (from the IFRS for SMEs statements) and three-year forecast</t>
  </si>
  <si>
    <t xml:space="preserve">Driven only by the blue assumptions; cash is the balancing figure and the balance check must read zero every year.</t>
  </si>
  <si>
    <t xml:space="preserve">Basis</t>
  </si>
  <si>
    <t xml:space="preserve">Assumptions</t>
  </si>
  <si>
    <t xml:space="preserve">Revenue growth</t>
  </si>
  <si>
    <t xml:space="preserve">Management estimate</t>
  </si>
  <si>
    <t xml:space="preserve">Cost of sales, % of revenue</t>
  </si>
  <si>
    <t xml:space="preserve">Actual year shown for reference</t>
  </si>
  <si>
    <t xml:space="preserve">Administrative expenses (excl. depreciation) growth</t>
  </si>
  <si>
    <t xml:space="preserve">Inflation plus salary increases</t>
  </si>
  <si>
    <t xml:space="preserve">Selling and marketing, % of revenue</t>
  </si>
  <si>
    <t xml:space="preserve">Capital expenditure (computers and ICT)</t>
  </si>
  <si>
    <t xml:space="preserve">Equipment replacement plan</t>
  </si>
  <si>
    <t xml:space="preserve">Useful life of new equipment (years)</t>
  </si>
  <si>
    <t xml:space="preserve">Full-year depreciation in year of purchase</t>
  </si>
  <si>
    <t xml:space="preserve">Receivable days (on revenue)</t>
  </si>
  <si>
    <t xml:space="preserve">Prepayments, % of administrative expenses</t>
  </si>
  <si>
    <t xml:space="preserve">About one month of rent</t>
  </si>
  <si>
    <t xml:space="preserve">Payable days (on cost of sales and other cash costs)</t>
  </si>
  <si>
    <t xml:space="preserve">Rwanda, from Settings</t>
  </si>
  <si>
    <t xml:space="preserve">Income tax unpaid at year end, % of tax expense</t>
  </si>
  <si>
    <t xml:space="preserve">Balance after quarterly prepayments</t>
  </si>
  <si>
    <t xml:space="preserve">Dividend payout, % of profit for the year</t>
  </si>
  <si>
    <t xml:space="preserve">Paid in the same year</t>
  </si>
  <si>
    <t xml:space="preserve">Income statement</t>
  </si>
  <si>
    <t xml:space="preserve">Administrative expenses (excl. depreciation)</t>
  </si>
  <si>
    <t xml:space="preserve">From PPE schedule</t>
  </si>
  <si>
    <t xml:space="preserve">Interest per loan schedule</t>
  </si>
  <si>
    <t xml:space="preserve">Forecast: statutory rate on profit; deferred tax held constant</t>
  </si>
  <si>
    <t xml:space="preserve">VAT registration required? (turnover above threshold)</t>
  </si>
  <si>
    <t xml:space="preserve">Rwanda: register for VAT above RWF 20 million a year</t>
  </si>
  <si>
    <t xml:space="preserve">Balance sheet</t>
  </si>
  <si>
    <t xml:space="preserve">From cash flow (balancing figure)</t>
  </si>
  <si>
    <t xml:space="preserve">Total assets</t>
  </si>
  <si>
    <t xml:space="preserve">Borrowings (current and non-current)</t>
  </si>
  <si>
    <t xml:space="preserve">Per loan schedule</t>
  </si>
  <si>
    <t xml:space="preserve">Held constant</t>
  </si>
  <si>
    <t xml:space="preserve">One month of statutory deductions, grows with admin costs</t>
  </si>
  <si>
    <t xml:space="preserve">Total equity and liabilities</t>
  </si>
  <si>
    <t xml:space="preserve">Balance check (must be zero)</t>
  </si>
  <si>
    <t xml:space="preserve">Cash flow statement (indirect method)</t>
  </si>
  <si>
    <t xml:space="preserve">Add back: depreciation</t>
  </si>
  <si>
    <t xml:space="preserve">(Increase) / decrease in receivables and tax recoverable</t>
  </si>
  <si>
    <t xml:space="preserve">(Increase) / decrease in prepayments</t>
  </si>
  <si>
    <t xml:space="preserve">Increase / (decrease) in trade and other payables</t>
  </si>
  <si>
    <t xml:space="preserve">Increase / (decrease) in PAYE and social security payable</t>
  </si>
  <si>
    <t xml:space="preserve">Increase / (decrease) in income tax and deferred tax liabilities</t>
  </si>
  <si>
    <t xml:space="preserve">Capital expenditure</t>
  </si>
  <si>
    <t xml:space="preserve">Net borrowings / (repayments)</t>
  </si>
  <si>
    <t xml:space="preserve">Shown positive; deducted below</t>
  </si>
  <si>
    <t xml:space="preserve">Net change in cash</t>
  </si>
  <si>
    <t xml:space="preserve">Cash at beginning of year</t>
  </si>
  <si>
    <t xml:space="preserve">Cash at end of year</t>
  </si>
  <si>
    <t xml:space="preserve">Check: actual-year cash agrees to the statement of cash flows</t>
  </si>
  <si>
    <t xml:space="preserve">Must be zero</t>
  </si>
  <si>
    <t xml:space="preserve">Supporting schedule: property, plant and equipment</t>
  </si>
  <si>
    <t xml:space="preserve">Opening carrying amount</t>
  </si>
  <si>
    <t xml:space="preserve">Depreciation - existing assets</t>
  </si>
  <si>
    <t xml:space="preserve">From the fixed asset register</t>
  </si>
  <si>
    <t xml:space="preserve">Depreciation - new additions</t>
  </si>
  <si>
    <t xml:space="preserve">Valid while the forecast is no longer than the useful life</t>
  </si>
  <si>
    <t xml:space="preserve">Closing carrying amount</t>
  </si>
  <si>
    <t xml:space="preserve">Key ratios</t>
  </si>
  <si>
    <t xml:space="preserve">Gross margin</t>
  </si>
  <si>
    <t xml:space="preserve">Operating margin</t>
  </si>
  <si>
    <t xml:space="preserve">Net profit margin</t>
  </si>
  <si>
    <t xml:space="preserve">Return on equity</t>
  </si>
  <si>
    <t xml:space="preserve">Debt to equity</t>
  </si>
  <si>
    <t xml:space="preserve">Interest cover (times)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</si>
</sst>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"/>
    <numFmt numFmtId="167" formatCode="0.0%"/>
    <numFmt numFmtId="168" formatCode="dd\-mmm\-yy"/>
    <numFmt numFmtId="169" formatCode="mmm\-yy"/>
    <numFmt numFmtId="170" formatCode="0.0"/>
    <numFmt numFmtId="171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/>
      <right/>
      <top style="thin">
        <color rgb="FF999999"/>
      </top>
      <bottom style="double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2"/>
    <col collapsed="false" customWidth="true" hidden="false" outlineLevel="0" max="4" min="3" style="0" width="15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n">
        <v>1</v>
      </c>
      <c r="B4" s="3" t="s">
        <v>6</v>
      </c>
      <c r="C4" s="4" t="n">
        <f aca="false">Opening_TB!C14</f>
        <v>0</v>
      </c>
      <c r="D4" s="4" t="n">
        <f aca="false">0</f>
        <v>0</v>
      </c>
      <c r="E4" s="5" t="str">
        <f aca="false">IF(ABS(C4-D4)&lt;0.5,"PASS","FAIL")</f>
        <v>PASS</v>
      </c>
    </row>
    <row r="5" customFormat="false" ht="15" hidden="false" customHeight="false" outlineLevel="0" collapsed="false">
      <c r="A5" s="3" t="n">
        <v>2</v>
      </c>
      <c r="B5" s="3" t="s">
        <v>7</v>
      </c>
      <c r="C5" s="4" t="n">
        <f aca="false">Trial_Balance!I39</f>
        <v>26817342</v>
      </c>
      <c r="D5" s="4" t="n">
        <f aca="false">Trial_Balance!J39</f>
        <v>26817342</v>
      </c>
      <c r="E5" s="5" t="str">
        <f aca="false">IF(ABS(C5-D5)&lt;0.5,"PASS","FAIL")</f>
        <v>PASS</v>
      </c>
    </row>
    <row r="6" customFormat="false" ht="15" hidden="false" customHeight="false" outlineLevel="0" collapsed="false">
      <c r="A6" s="3" t="n">
        <v>3</v>
      </c>
      <c r="B6" s="3" t="s">
        <v>8</v>
      </c>
      <c r="C6" s="4" t="n">
        <f aca="false">Journals!E58</f>
        <v>6686888</v>
      </c>
      <c r="D6" s="4" t="n">
        <f aca="false">Journals!F58</f>
        <v>6686888</v>
      </c>
      <c r="E6" s="5" t="str">
        <f aca="false">IF(ABS(C6-D6)&lt;0.5,"PASS","FAIL")</f>
        <v>PASS</v>
      </c>
    </row>
    <row r="7" customFormat="false" ht="15" hidden="false" customHeight="false" outlineLevel="0" collapsed="false">
      <c r="A7" s="3" t="n">
        <v>4</v>
      </c>
      <c r="B7" s="3" t="s">
        <v>9</v>
      </c>
      <c r="C7" s="4" t="n">
        <f aca="false">SoFP!C17</f>
        <v>5983454</v>
      </c>
      <c r="D7" s="4" t="n">
        <f aca="false">SoFP!C36</f>
        <v>5983454</v>
      </c>
      <c r="E7" s="5" t="str">
        <f aca="false">IF(ABS(C7-D7)&lt;0.5,"PASS","FAIL")</f>
        <v>PASS</v>
      </c>
    </row>
    <row r="8" customFormat="false" ht="15" hidden="false" customHeight="false" outlineLevel="0" collapsed="false">
      <c r="A8" s="3" t="n">
        <v>5</v>
      </c>
      <c r="B8" s="3" t="s">
        <v>10</v>
      </c>
      <c r="C8" s="4" t="n">
        <f aca="false">SoCF!C34</f>
        <v>1143454</v>
      </c>
      <c r="D8" s="4" t="n">
        <f aca="false">SUMIFS(Trial_Balance!$H$5:$H$38,Trial_Balance!$A$5:$A$38,Settings!$B$6)</f>
        <v>1143454</v>
      </c>
      <c r="E8" s="5" t="str">
        <f aca="false">IF(ABS(C8-D8)&lt;0.5,"PASS","FAIL")</f>
        <v>PASS</v>
      </c>
    </row>
    <row r="9" customFormat="false" ht="15" hidden="false" customHeight="false" outlineLevel="0" collapsed="false">
      <c r="A9" s="3" t="n">
        <v>6</v>
      </c>
      <c r="B9" s="3" t="s">
        <v>11</v>
      </c>
      <c r="C9" s="4" t="n">
        <f aca="false">SoCF!C34</f>
        <v>1143454</v>
      </c>
      <c r="D9" s="4" t="n">
        <f aca="false">Cash_Book!$I$115</f>
        <v>1143454</v>
      </c>
      <c r="E9" s="5" t="str">
        <f aca="false">IF(ABS(C9-D9)&lt;0.5,"PASS","FAIL")</f>
        <v>PASS</v>
      </c>
    </row>
    <row r="10" customFormat="false" ht="15" hidden="false" customHeight="false" outlineLevel="0" collapsed="false">
      <c r="A10" s="3" t="n">
        <v>7</v>
      </c>
      <c r="B10" s="3" t="s">
        <v>12</v>
      </c>
      <c r="C10" s="4" t="n">
        <f aca="false">Notes!$B$86</f>
        <v>1150000</v>
      </c>
      <c r="D10" s="4" t="n">
        <f aca="false">SUMIFS(Trial_Balance!$H$5:$H$38,Trial_Balance!$A$5:$A$38,Settings!$B$7)</f>
        <v>1150000</v>
      </c>
      <c r="E10" s="5" t="str">
        <f aca="false">IF(ABS(C10-D10)&lt;0.5,"PASS","FAIL")</f>
        <v>PASS</v>
      </c>
    </row>
    <row r="11" customFormat="false" ht="15" hidden="false" customHeight="false" outlineLevel="0" collapsed="false">
      <c r="A11" s="3" t="n">
        <v>8</v>
      </c>
      <c r="B11" s="3" t="s">
        <v>13</v>
      </c>
      <c r="C11" s="4" t="n">
        <f aca="false">Notes!$B$105</f>
        <v>500000</v>
      </c>
      <c r="D11" s="4" t="n">
        <f aca="false">-SUMIFS(Trial_Balance!$H$5:$H$38,Trial_Balance!$A$5:$A$38,Settings!$B$8)</f>
        <v>500000</v>
      </c>
      <c r="E11" s="5" t="str">
        <f aca="false">IF(ABS(C11-D11)&lt;0.5,"PASS","FAIL")</f>
        <v>PASS</v>
      </c>
    </row>
    <row r="12" customFormat="false" ht="15" hidden="false" customHeight="false" outlineLevel="0" collapsed="false">
      <c r="A12" s="3" t="n">
        <v>9</v>
      </c>
      <c r="B12" s="3" t="s">
        <v>14</v>
      </c>
      <c r="C12" s="4" t="n">
        <f aca="false">Fixed_Assets!K9</f>
        <v>3340000</v>
      </c>
      <c r="D12" s="4" t="n">
        <f aca="false">SoFP!C8</f>
        <v>3340000</v>
      </c>
      <c r="E12" s="5" t="str">
        <f aca="false">IF(ABS(C12-D12)&lt;0.5,"PASS","FAIL")</f>
        <v>PASS</v>
      </c>
    </row>
    <row r="13" customFormat="false" ht="15" hidden="false" customHeight="false" outlineLevel="0" collapsed="false">
      <c r="A13" s="3" t="n">
        <v>10</v>
      </c>
      <c r="B13" s="3" t="s">
        <v>15</v>
      </c>
      <c r="C13" s="4" t="n">
        <f aca="false">Notes!$B$78</f>
        <v>3340000</v>
      </c>
      <c r="D13" s="4" t="n">
        <f aca="false">SoFP!C8</f>
        <v>3340000</v>
      </c>
      <c r="E13" s="5" t="str">
        <f aca="false">IF(ABS(C13-D13)&lt;0.5,"PASS","FAIL")</f>
        <v>PASS</v>
      </c>
    </row>
    <row r="14" customFormat="false" ht="15" hidden="false" customHeight="false" outlineLevel="0" collapsed="false">
      <c r="A14" s="3" t="n">
        <v>11</v>
      </c>
      <c r="B14" s="3" t="s">
        <v>16</v>
      </c>
      <c r="C14" s="4" t="n">
        <f aca="false">Fixed_Assets!G9</f>
        <v>600000</v>
      </c>
      <c r="D14" s="4" t="n">
        <f aca="false">-SUMIFS(Trial_Balance!$E$5:$E$38,Trial_Balance!$A$5:$A$38,1510)</f>
        <v>600000</v>
      </c>
      <c r="E14" s="5" t="str">
        <f aca="false">IF(ABS(C14-D14)&lt;0.5,"PASS","FAIL")</f>
        <v>PASS</v>
      </c>
    </row>
    <row r="15" customFormat="false" ht="15" hidden="false" customHeight="false" outlineLevel="0" collapsed="false">
      <c r="A15" s="3" t="n">
        <v>12</v>
      </c>
      <c r="B15" s="3" t="s">
        <v>17</v>
      </c>
      <c r="C15" s="4" t="n">
        <f aca="false">-SUMIFS(Trial_Balance!$H$5:$H$38,Trial_Balance!$A$5:$A$38,2500)</f>
        <v>1800000</v>
      </c>
      <c r="D15" s="4" t="n">
        <f aca="false">Loan_Schedule!$L$11</f>
        <v>1800000</v>
      </c>
      <c r="E15" s="5" t="str">
        <f aca="false">IF(ABS(C15-D15)&lt;0.5,"PASS","FAIL")</f>
        <v>PASS</v>
      </c>
    </row>
    <row r="16" customFormat="false" ht="15" hidden="false" customHeight="false" outlineLevel="0" collapsed="false">
      <c r="A16" s="3" t="n">
        <v>13</v>
      </c>
      <c r="B16" s="3" t="s">
        <v>18</v>
      </c>
      <c r="C16" s="4" t="n">
        <f aca="false">SUMIFS(Trial_Balance!$H$5:$H$38,Trial_Balance!$A$5:$A$38,8100)</f>
        <v>264000</v>
      </c>
      <c r="D16" s="4" t="n">
        <f aca="false">Loan_Schedule!$J$11</f>
        <v>264000</v>
      </c>
      <c r="E16" s="5" t="str">
        <f aca="false">IF(ABS(C16-D16)&lt;0.5,"PASS","FAIL")</f>
        <v>PASS</v>
      </c>
    </row>
    <row r="17" customFormat="false" ht="15" hidden="false" customHeight="false" outlineLevel="0" collapsed="false">
      <c r="A17" s="3" t="n">
        <v>14</v>
      </c>
      <c r="B17" s="3" t="s">
        <v>19</v>
      </c>
      <c r="C17" s="4" t="n">
        <f aca="false">SUMIFS(Cash_Book!$G$5:$G$155,Cash_Book!$E$5:$E$155,2410)</f>
        <v>3472152</v>
      </c>
      <c r="D17" s="4" t="n">
        <f aca="false">Payroll!G17</f>
        <v>3472152</v>
      </c>
      <c r="E17" s="5" t="str">
        <f aca="false">IF(ABS(C17-D17)&lt;0.5,"PASS","FAIL")</f>
        <v>PASS</v>
      </c>
    </row>
    <row r="18" customFormat="false" ht="15" hidden="false" customHeight="false" outlineLevel="0" collapsed="false">
      <c r="A18" s="3" t="n">
        <v>15</v>
      </c>
      <c r="B18" s="3" t="s">
        <v>20</v>
      </c>
      <c r="C18" s="4" t="n">
        <f aca="false">Notes!$B$109</f>
        <v>143854</v>
      </c>
      <c r="D18" s="4" t="n">
        <f aca="false">Payroll!L16</f>
        <v>143854</v>
      </c>
      <c r="E18" s="5" t="str">
        <f aca="false">IF(ABS(C18-D18)&lt;0.5,"PASS","FAIL")</f>
        <v>PASS</v>
      </c>
    </row>
    <row r="19" customFormat="false" ht="15" hidden="false" customHeight="false" outlineLevel="0" collapsed="false">
      <c r="A19" s="3" t="n">
        <v>16</v>
      </c>
      <c r="B19" s="3" t="s">
        <v>21</v>
      </c>
      <c r="C19" s="4" t="n">
        <f aca="false">SUMIFS(Trial_Balance!$H$5:$H$38,Trial_Balance!$A$5:$A$38,7000)</f>
        <v>180488</v>
      </c>
      <c r="D19" s="4" t="n">
        <f aca="false">Tax_Computation!B16</f>
        <v>180488</v>
      </c>
      <c r="E19" s="5" t="str">
        <f aca="false">IF(ABS(C19-D19)&lt;0.5,"PASS","FAIL")</f>
        <v>PASS</v>
      </c>
    </row>
    <row r="20" customFormat="false" ht="15" hidden="false" customHeight="false" outlineLevel="0" collapsed="false">
      <c r="A20" s="3" t="n">
        <v>17</v>
      </c>
      <c r="B20" s="3" t="s">
        <v>22</v>
      </c>
      <c r="C20" s="4" t="n">
        <f aca="false">-SUMIFS(Trial_Balance!$H$5:$H$38,Trial_Balance!$A$5:$A$38,2700)</f>
        <v>217000</v>
      </c>
      <c r="D20" s="4" t="n">
        <f aca="false">Tax_Computation!B22</f>
        <v>217000</v>
      </c>
      <c r="E20" s="5" t="str">
        <f aca="false">IF(ABS(C20-D20)&lt;0.5,"PASS","FAIL")</f>
        <v>PASS</v>
      </c>
    </row>
    <row r="21" customFormat="false" ht="15" hidden="false" customHeight="false" outlineLevel="0" collapsed="false">
      <c r="A21" s="3" t="n">
        <v>18</v>
      </c>
      <c r="B21" s="3" t="s">
        <v>23</v>
      </c>
      <c r="C21" s="4" t="n">
        <f aca="false">Notes!$B$61</f>
        <v>313488</v>
      </c>
      <c r="D21" s="4" t="n">
        <f aca="false">ROUND((SoCI!C17+Tax_Computation!B13)*Settings!$B$5,0)</f>
        <v>313488</v>
      </c>
      <c r="E21" s="5" t="str">
        <f aca="false">IF(ABS(C21-D21)&lt;2,"PASS","FAIL")</f>
        <v>PASS</v>
      </c>
    </row>
    <row r="22" customFormat="false" ht="15" hidden="false" customHeight="false" outlineLevel="0" collapsed="false">
      <c r="A22" s="3" t="n">
        <v>19</v>
      </c>
      <c r="B22" s="3" t="s">
        <v>24</v>
      </c>
      <c r="C22" s="4" t="n">
        <f aca="false">Notes!$B$19</f>
        <v>19550000</v>
      </c>
      <c r="D22" s="4" t="n">
        <f aca="false">SoCI!C6</f>
        <v>19550000</v>
      </c>
      <c r="E22" s="5" t="str">
        <f aca="false">IF(ABS(C22-D22)&lt;0.5,"PASS","FAIL")</f>
        <v>PASS</v>
      </c>
    </row>
    <row r="23" customFormat="false" ht="15" hidden="false" customHeight="false" outlineLevel="0" collapsed="false">
      <c r="A23" s="3" t="n">
        <v>20</v>
      </c>
      <c r="B23" s="3" t="s">
        <v>25</v>
      </c>
      <c r="C23" s="4" t="n">
        <f aca="false">Notes!$B$50</f>
        <v>18166400</v>
      </c>
      <c r="D23" s="4" t="n">
        <f aca="false">-(SoCI!C7+SoCI!C10+SoCI!C11)</f>
        <v>18166400</v>
      </c>
      <c r="E23" s="5" t="str">
        <f aca="false">IF(ABS(C23-D23)&lt;0.5,"PASS","FAIL")</f>
        <v>PASS</v>
      </c>
    </row>
    <row r="24" customFormat="false" ht="15" hidden="false" customHeight="false" outlineLevel="0" collapsed="false">
      <c r="A24" s="3" t="n">
        <v>21</v>
      </c>
      <c r="B24" s="3" t="s">
        <v>26</v>
      </c>
      <c r="C24" s="4" t="n">
        <f aca="false">Three_Statement_Model!B71</f>
        <v>1143454</v>
      </c>
      <c r="D24" s="4" t="n">
        <f aca="false">SoCF!C34</f>
        <v>1143454</v>
      </c>
      <c r="E24" s="5" t="str">
        <f aca="false">IF(ABS(C24-D24)&lt;0.5,"PASS","FAIL")</f>
        <v>PASS</v>
      </c>
    </row>
    <row r="25" customFormat="false" ht="15" hidden="false" customHeight="false" outlineLevel="0" collapsed="false">
      <c r="A25" s="3" t="n">
        <v>22</v>
      </c>
      <c r="B25" s="3" t="s">
        <v>27</v>
      </c>
      <c r="C25" s="4" t="n">
        <f aca="false">SUMPRODUCT(ABS(Three_Statement_Model!B52:E52))</f>
        <v>0</v>
      </c>
      <c r="D25" s="4" t="n">
        <f aca="false">0</f>
        <v>0</v>
      </c>
      <c r="E25" s="5" t="str">
        <f aca="false">IF(ABS(C25-D25)&lt;0.5,"PASS","FAIL")</f>
        <v>PASS</v>
      </c>
    </row>
    <row r="26" customFormat="false" ht="15" hidden="false" customHeight="false" outlineLevel="0" collapsed="false">
      <c r="A26" s="3" t="n">
        <v>23</v>
      </c>
      <c r="B26" s="3" t="s">
        <v>28</v>
      </c>
      <c r="E26" s="5" t="str">
        <f aca="false">IF(COUNTIF(Sales_Register!$G$5:$G$65,"INVALID CODE")+COUNTIF(Purchase_Register!$G$5:$G$94,"INVALID CODE")+COUNTIF(Cash_Book!$H$5:$H$155,"INVALID CODE")+COUNTIF(Journals!$G$5:$G$56,"INVALID CODE")=0,"PASS","FAIL")</f>
        <v>PASS</v>
      </c>
    </row>
    <row r="28" customFormat="false" ht="15" hidden="false" customHeight="false" outlineLevel="0" collapsed="false">
      <c r="B28" s="5" t="s">
        <v>29</v>
      </c>
      <c r="E28" s="5" t="str">
        <f aca="false">IF(COUNTIF(E4:E26,"FAIL")=0,"ALL PASS","REVIEW")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3" t="s">
        <v>31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5" t="s">
        <v>32</v>
      </c>
    </row>
    <row r="5" customFormat="false" ht="15" hidden="false" customHeight="false" outlineLevel="0" collapsed="false">
      <c r="A5" s="3" t="s">
        <v>33</v>
      </c>
    </row>
    <row r="6" customFormat="false" ht="15" hidden="false" customHeight="false" outlineLevel="0" collapsed="false">
      <c r="A6" s="3" t="s">
        <v>34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5" t="s">
        <v>35</v>
      </c>
    </row>
    <row r="9" customFormat="false" ht="15" hidden="false" customHeight="false" outlineLevel="0" collapsed="false">
      <c r="A9" s="3" t="s">
        <v>36</v>
      </c>
    </row>
    <row r="10" customFormat="false" ht="15" hidden="false" customHeight="false" outlineLevel="0" collapsed="false">
      <c r="A10" s="3" t="s">
        <v>37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5" t="s">
        <v>38</v>
      </c>
    </row>
    <row r="13" customFormat="false" ht="15" hidden="false" customHeight="false" outlineLevel="0" collapsed="false">
      <c r="A13" s="3" t="s">
        <v>39</v>
      </c>
    </row>
    <row r="14" customFormat="false" ht="15" hidden="false" customHeight="false" outlineLevel="0" collapsed="false">
      <c r="A14" s="3" t="s">
        <v>40</v>
      </c>
    </row>
    <row r="15" customFormat="false" ht="15" hidden="false" customHeight="false" outlineLevel="0" collapsed="false">
      <c r="A15" s="3" t="s">
        <v>41</v>
      </c>
    </row>
    <row r="16" customFormat="false" ht="15" hidden="false" customHeight="false" outlineLevel="0" collapsed="false">
      <c r="A16" s="3" t="s">
        <v>42</v>
      </c>
    </row>
    <row r="17" customFormat="false" ht="15" hidden="false" customHeight="false" outlineLevel="0" collapsed="false">
      <c r="A17" s="3" t="s">
        <v>43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5" t="s">
        <v>44</v>
      </c>
    </row>
    <row r="20" customFormat="false" ht="15" hidden="false" customHeight="false" outlineLevel="0" collapsed="false">
      <c r="A20" s="3" t="s">
        <v>45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47</v>
      </c>
    </row>
    <row r="4" customFormat="false" ht="15" hidden="false" customHeight="false" outlineLevel="0" collapsed="false">
      <c r="A4" s="5" t="s">
        <v>48</v>
      </c>
      <c r="B4" s="6" t="str">
        <f aca="false">Settings!$B$3</f>
        <v>Example Tech Ltd (fictional)</v>
      </c>
    </row>
    <row r="5" customFormat="false" ht="15" hidden="false" customHeight="false" outlineLevel="0" collapsed="false">
      <c r="A5" s="5" t="s">
        <v>49</v>
      </c>
      <c r="B5" s="3" t="s">
        <v>50</v>
      </c>
    </row>
    <row r="6" customFormat="false" ht="15" hidden="false" customHeight="false" outlineLevel="0" collapsed="false">
      <c r="A6" s="5" t="s">
        <v>51</v>
      </c>
      <c r="B6" s="3" t="s">
        <v>52</v>
      </c>
    </row>
    <row r="7" customFormat="false" ht="15" hidden="false" customHeight="false" outlineLevel="0" collapsed="false">
      <c r="A7" s="5" t="s">
        <v>53</v>
      </c>
      <c r="B7" s="3" t="s">
        <v>54</v>
      </c>
    </row>
    <row r="8" customFormat="false" ht="15" hidden="false" customHeight="false" outlineLevel="0" collapsed="false">
      <c r="A8" s="5" t="s">
        <v>55</v>
      </c>
      <c r="B8" s="3" t="s">
        <v>56</v>
      </c>
    </row>
    <row r="9" customFormat="false" ht="15" hidden="false" customHeight="false" outlineLevel="0" collapsed="false">
      <c r="A9" s="5" t="s">
        <v>57</v>
      </c>
      <c r="B9" s="3" t="s">
        <v>58</v>
      </c>
    </row>
    <row r="10" customFormat="false" ht="15" hidden="false" customHeight="false" outlineLevel="0" collapsed="false">
      <c r="A10" s="5" t="s">
        <v>59</v>
      </c>
      <c r="B10" s="3" t="s">
        <v>60</v>
      </c>
    </row>
    <row r="13" customFormat="false" ht="15" hidden="false" customHeight="false" outlineLevel="0" collapsed="false">
      <c r="A13" s="5" t="s">
        <v>61</v>
      </c>
    </row>
    <row r="14" customFormat="false" ht="15" hidden="false" customHeight="false" outlineLevel="0" collapsed="false">
      <c r="A14" s="3" t="s">
        <v>62</v>
      </c>
    </row>
    <row r="15" customFormat="false" ht="15" hidden="false" customHeight="false" outlineLevel="0" collapsed="false">
      <c r="A15" s="3" t="s">
        <v>63</v>
      </c>
    </row>
    <row r="16" customFormat="false" ht="15" hidden="false" customHeight="false" outlineLevel="0" collapsed="false">
      <c r="A16" s="3" t="s">
        <v>64</v>
      </c>
    </row>
    <row r="17" customFormat="false" ht="15" hidden="false" customHeight="false" outlineLevel="0" collapsed="false">
      <c r="A17" s="3" t="s">
        <v>65</v>
      </c>
    </row>
    <row r="18" customFormat="false" ht="15" hidden="false" customHeight="false" outlineLevel="0" collapsed="false">
      <c r="A18" s="3" t="s">
        <v>66</v>
      </c>
    </row>
    <row r="20" customFormat="false" ht="15" hidden="false" customHeight="false" outlineLevel="0" collapsed="false">
      <c r="A20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</cols>
  <sheetData>
    <row r="1" customFormat="false" ht="16.15" hidden="false" customHeight="false" outlineLevel="0" collapsed="false">
      <c r="A1" s="1" t="s">
        <v>68</v>
      </c>
    </row>
    <row r="3" customFormat="false" ht="15" hidden="false" customHeight="false" outlineLevel="0" collapsed="false">
      <c r="A3" s="5" t="s">
        <v>69</v>
      </c>
      <c r="B3" s="7" t="s">
        <v>70</v>
      </c>
    </row>
    <row r="4" customFormat="false" ht="15" hidden="false" customHeight="false" outlineLevel="0" collapsed="false">
      <c r="A4" s="5" t="s">
        <v>71</v>
      </c>
      <c r="B4" s="8" t="n">
        <v>2025</v>
      </c>
    </row>
    <row r="5" customFormat="false" ht="15" hidden="false" customHeight="false" outlineLevel="0" collapsed="false">
      <c r="A5" s="5" t="s">
        <v>72</v>
      </c>
      <c r="B5" s="9" t="n">
        <v>0.28</v>
      </c>
    </row>
    <row r="6" customFormat="false" ht="15" hidden="false" customHeight="false" outlineLevel="0" collapsed="false">
      <c r="A6" s="5" t="s">
        <v>73</v>
      </c>
      <c r="B6" s="8" t="n">
        <v>1100</v>
      </c>
    </row>
    <row r="7" customFormat="false" ht="15" hidden="false" customHeight="false" outlineLevel="0" collapsed="false">
      <c r="A7" s="5" t="s">
        <v>74</v>
      </c>
      <c r="B7" s="8" t="n">
        <v>1200</v>
      </c>
    </row>
    <row r="8" customFormat="false" ht="15" hidden="false" customHeight="false" outlineLevel="0" collapsed="false">
      <c r="A8" s="5" t="s">
        <v>75</v>
      </c>
      <c r="B8" s="8" t="n">
        <v>2100</v>
      </c>
    </row>
    <row r="9" customFormat="false" ht="15" hidden="false" customHeight="false" outlineLevel="0" collapsed="false">
      <c r="A9" s="5" t="s">
        <v>76</v>
      </c>
      <c r="B9" s="10" t="n">
        <v>60000</v>
      </c>
    </row>
    <row r="10" customFormat="false" ht="15" hidden="false" customHeight="false" outlineLevel="0" collapsed="false">
      <c r="A10" s="5" t="s">
        <v>77</v>
      </c>
      <c r="B10" s="10" t="n">
        <v>100000</v>
      </c>
    </row>
    <row r="11" customFormat="false" ht="15" hidden="false" customHeight="false" outlineLevel="0" collapsed="false">
      <c r="A11" s="5" t="s">
        <v>78</v>
      </c>
      <c r="B11" s="10" t="n">
        <v>200000</v>
      </c>
    </row>
    <row r="12" customFormat="false" ht="15" hidden="false" customHeight="false" outlineLevel="0" collapsed="false">
      <c r="A12" s="5" t="s">
        <v>79</v>
      </c>
      <c r="B12" s="9" t="n">
        <v>0.1</v>
      </c>
    </row>
    <row r="13" customFormat="false" ht="15" hidden="false" customHeight="false" outlineLevel="0" collapsed="false">
      <c r="A13" s="5" t="s">
        <v>80</v>
      </c>
      <c r="B13" s="9" t="n">
        <v>0.2</v>
      </c>
    </row>
    <row r="14" customFormat="false" ht="15" hidden="false" customHeight="false" outlineLevel="0" collapsed="false">
      <c r="A14" s="5" t="s">
        <v>81</v>
      </c>
      <c r="B14" s="9" t="n">
        <v>0.3</v>
      </c>
    </row>
    <row r="15" customFormat="false" ht="15" hidden="false" customHeight="false" outlineLevel="0" collapsed="false">
      <c r="A15" s="5" t="s">
        <v>82</v>
      </c>
      <c r="B15" s="9" t="n">
        <v>0.06</v>
      </c>
    </row>
    <row r="16" customFormat="false" ht="15" hidden="false" customHeight="false" outlineLevel="0" collapsed="false">
      <c r="A16" s="5" t="s">
        <v>83</v>
      </c>
      <c r="B16" s="9" t="n">
        <v>0.06</v>
      </c>
    </row>
    <row r="17" customFormat="false" ht="15" hidden="false" customHeight="false" outlineLevel="0" collapsed="false">
      <c r="A17" s="5" t="s">
        <v>84</v>
      </c>
      <c r="B17" s="9" t="n">
        <v>0.02</v>
      </c>
    </row>
    <row r="18" customFormat="false" ht="15" hidden="false" customHeight="false" outlineLevel="0" collapsed="false">
      <c r="A18" s="5" t="s">
        <v>85</v>
      </c>
      <c r="B18" s="9" t="n">
        <v>0.003</v>
      </c>
    </row>
    <row r="19" customFormat="false" ht="15" hidden="false" customHeight="false" outlineLevel="0" collapsed="false">
      <c r="A19" s="5" t="s">
        <v>86</v>
      </c>
      <c r="B19" s="9" t="n">
        <v>0.003</v>
      </c>
    </row>
    <row r="20" customFormat="false" ht="15" hidden="false" customHeight="false" outlineLevel="0" collapsed="false">
      <c r="A20" s="5" t="s">
        <v>87</v>
      </c>
      <c r="B20" s="9" t="n">
        <v>0.005</v>
      </c>
    </row>
    <row r="21" customFormat="false" ht="15" hidden="false" customHeight="false" outlineLevel="0" collapsed="false">
      <c r="A21" s="5" t="s">
        <v>88</v>
      </c>
      <c r="B21" s="10" t="n">
        <v>20000000</v>
      </c>
    </row>
    <row r="22" customFormat="false" ht="15" hidden="false" customHeight="false" outlineLevel="0" collapsed="false">
      <c r="A22" s="5" t="s">
        <v>89</v>
      </c>
      <c r="B22" s="9" t="n">
        <v>0.5</v>
      </c>
    </row>
    <row r="23" customFormat="false" ht="15" hidden="false" customHeight="false" outlineLevel="0" collapsed="false">
      <c r="A23" s="5" t="s">
        <v>90</v>
      </c>
      <c r="B23" s="9" t="n">
        <v>0.25</v>
      </c>
    </row>
    <row r="25" customFormat="false" ht="15" hidden="false" customHeight="false" outlineLevel="0" collapsed="false">
      <c r="A25" s="11" t="s">
        <v>91</v>
      </c>
    </row>
    <row r="26" customFormat="false" ht="15" hidden="false" customHeight="false" outlineLevel="0" collapsed="false">
      <c r="A26" s="11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1" t="s">
        <v>93</v>
      </c>
    </row>
    <row r="3" customFormat="false" ht="15" hidden="false" customHeight="false" outlineLevel="0" collapsed="false">
      <c r="A3" s="2" t="s">
        <v>94</v>
      </c>
      <c r="B3" s="2" t="s">
        <v>95</v>
      </c>
      <c r="C3" s="2" t="s">
        <v>96</v>
      </c>
      <c r="D3" s="2" t="s">
        <v>97</v>
      </c>
      <c r="E3" s="2" t="s">
        <v>98</v>
      </c>
    </row>
    <row r="4" customFormat="false" ht="15" hidden="false" customHeight="false" outlineLevel="0" collapsed="false">
      <c r="A4" s="7" t="n">
        <v>1100</v>
      </c>
      <c r="B4" s="7" t="s">
        <v>99</v>
      </c>
      <c r="C4" s="7" t="s">
        <v>100</v>
      </c>
      <c r="D4" s="7" t="s">
        <v>101</v>
      </c>
      <c r="E4" s="7"/>
    </row>
    <row r="5" customFormat="false" ht="15" hidden="false" customHeight="false" outlineLevel="0" collapsed="false">
      <c r="A5" s="7" t="n">
        <v>1200</v>
      </c>
      <c r="B5" s="7" t="s">
        <v>102</v>
      </c>
      <c r="C5" s="7" t="s">
        <v>100</v>
      </c>
      <c r="D5" s="7" t="s">
        <v>103</v>
      </c>
      <c r="E5" s="7"/>
    </row>
    <row r="6" customFormat="false" ht="15" hidden="false" customHeight="false" outlineLevel="0" collapsed="false">
      <c r="A6" s="7" t="n">
        <v>1300</v>
      </c>
      <c r="B6" s="7" t="s">
        <v>104</v>
      </c>
      <c r="C6" s="7" t="s">
        <v>100</v>
      </c>
      <c r="D6" s="7" t="s">
        <v>104</v>
      </c>
      <c r="E6" s="7"/>
    </row>
    <row r="7" customFormat="false" ht="15" hidden="false" customHeight="false" outlineLevel="0" collapsed="false">
      <c r="A7" s="7" t="n">
        <v>1500</v>
      </c>
      <c r="B7" s="7" t="s">
        <v>105</v>
      </c>
      <c r="C7" s="7" t="s">
        <v>100</v>
      </c>
      <c r="D7" s="7" t="s">
        <v>106</v>
      </c>
      <c r="E7" s="7"/>
    </row>
    <row r="8" customFormat="false" ht="15" hidden="false" customHeight="false" outlineLevel="0" collapsed="false">
      <c r="A8" s="7" t="n">
        <v>1510</v>
      </c>
      <c r="B8" s="7" t="s">
        <v>107</v>
      </c>
      <c r="C8" s="7" t="s">
        <v>100</v>
      </c>
      <c r="D8" s="7" t="s">
        <v>106</v>
      </c>
      <c r="E8" s="7"/>
    </row>
    <row r="9" customFormat="false" ht="15" hidden="false" customHeight="false" outlineLevel="0" collapsed="false">
      <c r="A9" s="7" t="n">
        <v>2100</v>
      </c>
      <c r="B9" s="7" t="s">
        <v>108</v>
      </c>
      <c r="C9" s="7" t="s">
        <v>109</v>
      </c>
      <c r="D9" s="7" t="s">
        <v>110</v>
      </c>
      <c r="E9" s="7"/>
    </row>
    <row r="10" customFormat="false" ht="15" hidden="false" customHeight="false" outlineLevel="0" collapsed="false">
      <c r="A10" s="7" t="n">
        <v>2200</v>
      </c>
      <c r="B10" s="7" t="s">
        <v>111</v>
      </c>
      <c r="C10" s="7" t="s">
        <v>109</v>
      </c>
      <c r="D10" s="7" t="s">
        <v>110</v>
      </c>
      <c r="E10" s="7"/>
    </row>
    <row r="11" customFormat="false" ht="15" hidden="false" customHeight="false" outlineLevel="0" collapsed="false">
      <c r="A11" s="7" t="n">
        <v>2300</v>
      </c>
      <c r="B11" s="7" t="s">
        <v>112</v>
      </c>
      <c r="C11" s="7" t="s">
        <v>109</v>
      </c>
      <c r="D11" s="7" t="s">
        <v>113</v>
      </c>
      <c r="E11" s="7"/>
    </row>
    <row r="12" customFormat="false" ht="15" hidden="false" customHeight="false" outlineLevel="0" collapsed="false">
      <c r="A12" s="7" t="n">
        <v>2400</v>
      </c>
      <c r="B12" s="7" t="s">
        <v>114</v>
      </c>
      <c r="C12" s="7" t="s">
        <v>109</v>
      </c>
      <c r="D12" s="7" t="s">
        <v>115</v>
      </c>
      <c r="E12" s="7"/>
    </row>
    <row r="13" customFormat="false" ht="15" hidden="false" customHeight="false" outlineLevel="0" collapsed="false">
      <c r="A13" s="7" t="n">
        <v>2410</v>
      </c>
      <c r="B13" s="7" t="s">
        <v>116</v>
      </c>
      <c r="C13" s="7" t="s">
        <v>109</v>
      </c>
      <c r="D13" s="7" t="s">
        <v>110</v>
      </c>
      <c r="E13" s="7"/>
    </row>
    <row r="14" customFormat="false" ht="15" hidden="false" customHeight="false" outlineLevel="0" collapsed="false">
      <c r="A14" s="7" t="n">
        <v>2500</v>
      </c>
      <c r="B14" s="7" t="s">
        <v>117</v>
      </c>
      <c r="C14" s="7" t="s">
        <v>109</v>
      </c>
      <c r="D14" s="7" t="s">
        <v>118</v>
      </c>
      <c r="E14" s="7"/>
    </row>
    <row r="15" customFormat="false" ht="15" hidden="false" customHeight="false" outlineLevel="0" collapsed="false">
      <c r="A15" s="7" t="n">
        <v>2700</v>
      </c>
      <c r="B15" s="7" t="s">
        <v>119</v>
      </c>
      <c r="C15" s="7" t="s">
        <v>109</v>
      </c>
      <c r="D15" s="7" t="s">
        <v>119</v>
      </c>
      <c r="E15" s="7"/>
    </row>
    <row r="16" customFormat="false" ht="15" hidden="false" customHeight="false" outlineLevel="0" collapsed="false">
      <c r="A16" s="7" t="n">
        <v>3000</v>
      </c>
      <c r="B16" s="7" t="s">
        <v>120</v>
      </c>
      <c r="C16" s="7" t="s">
        <v>121</v>
      </c>
      <c r="D16" s="7" t="s">
        <v>120</v>
      </c>
      <c r="E16" s="7"/>
    </row>
    <row r="17" customFormat="false" ht="15" hidden="false" customHeight="false" outlineLevel="0" collapsed="false">
      <c r="A17" s="7" t="n">
        <v>3100</v>
      </c>
      <c r="B17" s="7" t="s">
        <v>122</v>
      </c>
      <c r="C17" s="7" t="s">
        <v>121</v>
      </c>
      <c r="D17" s="7" t="s">
        <v>122</v>
      </c>
      <c r="E17" s="7"/>
    </row>
    <row r="18" customFormat="false" ht="15" hidden="false" customHeight="false" outlineLevel="0" collapsed="false">
      <c r="A18" s="7" t="n">
        <v>3200</v>
      </c>
      <c r="B18" s="7" t="s">
        <v>123</v>
      </c>
      <c r="C18" s="7" t="s">
        <v>121</v>
      </c>
      <c r="D18" s="7" t="s">
        <v>122</v>
      </c>
      <c r="E18" s="7"/>
    </row>
    <row r="19" customFormat="false" ht="15" hidden="false" customHeight="false" outlineLevel="0" collapsed="false">
      <c r="A19" s="7" t="n">
        <v>4000</v>
      </c>
      <c r="B19" s="7" t="s">
        <v>124</v>
      </c>
      <c r="C19" s="7" t="s">
        <v>125</v>
      </c>
      <c r="D19" s="7" t="s">
        <v>126</v>
      </c>
      <c r="E19" s="7"/>
    </row>
    <row r="20" customFormat="false" ht="15" hidden="false" customHeight="false" outlineLevel="0" collapsed="false">
      <c r="A20" s="7" t="n">
        <v>4100</v>
      </c>
      <c r="B20" s="7" t="s">
        <v>127</v>
      </c>
      <c r="C20" s="7" t="s">
        <v>125</v>
      </c>
      <c r="D20" s="7" t="s">
        <v>126</v>
      </c>
      <c r="E20" s="7"/>
    </row>
    <row r="21" customFormat="false" ht="15" hidden="false" customHeight="false" outlineLevel="0" collapsed="false">
      <c r="A21" s="7" t="n">
        <v>4200</v>
      </c>
      <c r="B21" s="7" t="s">
        <v>128</v>
      </c>
      <c r="C21" s="7" t="s">
        <v>125</v>
      </c>
      <c r="D21" s="7" t="s">
        <v>126</v>
      </c>
      <c r="E21" s="7"/>
    </row>
    <row r="22" customFormat="false" ht="15" hidden="false" customHeight="false" outlineLevel="0" collapsed="false">
      <c r="A22" s="7" t="n">
        <v>4300</v>
      </c>
      <c r="B22" s="7" t="s">
        <v>129</v>
      </c>
      <c r="C22" s="7" t="s">
        <v>125</v>
      </c>
      <c r="D22" s="7" t="s">
        <v>129</v>
      </c>
      <c r="E22" s="7"/>
    </row>
    <row r="23" customFormat="false" ht="15" hidden="false" customHeight="false" outlineLevel="0" collapsed="false">
      <c r="A23" s="7" t="n">
        <v>5000</v>
      </c>
      <c r="B23" s="7" t="s">
        <v>130</v>
      </c>
      <c r="C23" s="7" t="s">
        <v>131</v>
      </c>
      <c r="D23" s="7" t="s">
        <v>132</v>
      </c>
      <c r="E23" s="7" t="s">
        <v>130</v>
      </c>
    </row>
    <row r="24" customFormat="false" ht="15" hidden="false" customHeight="false" outlineLevel="0" collapsed="false">
      <c r="A24" s="7" t="n">
        <v>5500</v>
      </c>
      <c r="B24" s="7" t="s">
        <v>133</v>
      </c>
      <c r="C24" s="7" t="s">
        <v>131</v>
      </c>
      <c r="D24" s="7" t="s">
        <v>132</v>
      </c>
      <c r="E24" s="7" t="s">
        <v>134</v>
      </c>
    </row>
    <row r="25" customFormat="false" ht="15" hidden="false" customHeight="false" outlineLevel="0" collapsed="false">
      <c r="A25" s="7" t="n">
        <v>5010</v>
      </c>
      <c r="B25" s="7" t="s">
        <v>135</v>
      </c>
      <c r="C25" s="7" t="s">
        <v>131</v>
      </c>
      <c r="D25" s="7" t="s">
        <v>136</v>
      </c>
      <c r="E25" s="7" t="s">
        <v>137</v>
      </c>
    </row>
    <row r="26" customFormat="false" ht="15" hidden="false" customHeight="false" outlineLevel="0" collapsed="false">
      <c r="A26" s="7" t="n">
        <v>5020</v>
      </c>
      <c r="B26" s="7" t="s">
        <v>138</v>
      </c>
      <c r="C26" s="7" t="s">
        <v>131</v>
      </c>
      <c r="D26" s="7" t="s">
        <v>136</v>
      </c>
      <c r="E26" s="7" t="s">
        <v>137</v>
      </c>
    </row>
    <row r="27" customFormat="false" ht="15" hidden="false" customHeight="false" outlineLevel="0" collapsed="false">
      <c r="A27" s="7" t="n">
        <v>5100</v>
      </c>
      <c r="B27" s="7" t="s">
        <v>139</v>
      </c>
      <c r="C27" s="7" t="s">
        <v>131</v>
      </c>
      <c r="D27" s="7" t="s">
        <v>136</v>
      </c>
      <c r="E27" s="7" t="s">
        <v>140</v>
      </c>
    </row>
    <row r="28" customFormat="false" ht="15" hidden="false" customHeight="false" outlineLevel="0" collapsed="false">
      <c r="A28" s="7" t="n">
        <v>5300</v>
      </c>
      <c r="B28" s="7" t="s">
        <v>141</v>
      </c>
      <c r="C28" s="7" t="s">
        <v>131</v>
      </c>
      <c r="D28" s="7" t="s">
        <v>136</v>
      </c>
      <c r="E28" s="7" t="s">
        <v>140</v>
      </c>
    </row>
    <row r="29" customFormat="false" ht="15" hidden="false" customHeight="false" outlineLevel="0" collapsed="false">
      <c r="A29" s="7" t="n">
        <v>5200</v>
      </c>
      <c r="B29" s="7" t="s">
        <v>142</v>
      </c>
      <c r="C29" s="7" t="s">
        <v>131</v>
      </c>
      <c r="D29" s="7" t="s">
        <v>136</v>
      </c>
      <c r="E29" s="7" t="s">
        <v>143</v>
      </c>
    </row>
    <row r="30" customFormat="false" ht="15" hidden="false" customHeight="false" outlineLevel="0" collapsed="false">
      <c r="A30" s="7" t="n">
        <v>5400</v>
      </c>
      <c r="B30" s="7" t="s">
        <v>144</v>
      </c>
      <c r="C30" s="7" t="s">
        <v>131</v>
      </c>
      <c r="D30" s="7" t="s">
        <v>136</v>
      </c>
      <c r="E30" s="7" t="s">
        <v>144</v>
      </c>
    </row>
    <row r="31" customFormat="false" ht="15" hidden="false" customHeight="false" outlineLevel="0" collapsed="false">
      <c r="A31" s="7" t="n">
        <v>5600</v>
      </c>
      <c r="B31" s="7" t="s">
        <v>145</v>
      </c>
      <c r="C31" s="7" t="s">
        <v>131</v>
      </c>
      <c r="D31" s="7" t="s">
        <v>136</v>
      </c>
      <c r="E31" s="7" t="s">
        <v>145</v>
      </c>
    </row>
    <row r="32" customFormat="false" ht="15" hidden="false" customHeight="false" outlineLevel="0" collapsed="false">
      <c r="A32" s="7" t="n">
        <v>5800</v>
      </c>
      <c r="B32" s="7" t="s">
        <v>146</v>
      </c>
      <c r="C32" s="7" t="s">
        <v>131</v>
      </c>
      <c r="D32" s="7" t="s">
        <v>136</v>
      </c>
      <c r="E32" s="7" t="s">
        <v>147</v>
      </c>
    </row>
    <row r="33" customFormat="false" ht="15" hidden="false" customHeight="false" outlineLevel="0" collapsed="false">
      <c r="A33" s="7" t="n">
        <v>6100</v>
      </c>
      <c r="B33" s="7" t="s">
        <v>148</v>
      </c>
      <c r="C33" s="7" t="s">
        <v>131</v>
      </c>
      <c r="D33" s="7" t="s">
        <v>136</v>
      </c>
      <c r="E33" s="7" t="s">
        <v>148</v>
      </c>
    </row>
    <row r="34" customFormat="false" ht="15" hidden="false" customHeight="false" outlineLevel="0" collapsed="false">
      <c r="A34" s="7" t="n">
        <v>5700</v>
      </c>
      <c r="B34" s="7" t="s">
        <v>149</v>
      </c>
      <c r="C34" s="7" t="s">
        <v>131</v>
      </c>
      <c r="D34" s="7" t="s">
        <v>150</v>
      </c>
      <c r="E34" s="7" t="s">
        <v>149</v>
      </c>
    </row>
    <row r="35" customFormat="false" ht="15" hidden="false" customHeight="false" outlineLevel="0" collapsed="false">
      <c r="A35" s="7" t="n">
        <v>8100</v>
      </c>
      <c r="B35" s="7" t="s">
        <v>151</v>
      </c>
      <c r="C35" s="7" t="s">
        <v>131</v>
      </c>
      <c r="D35" s="7" t="s">
        <v>152</v>
      </c>
      <c r="E35" s="7" t="s">
        <v>153</v>
      </c>
    </row>
    <row r="36" customFormat="false" ht="15" hidden="false" customHeight="false" outlineLevel="0" collapsed="false">
      <c r="A36" s="7" t="n">
        <v>7000</v>
      </c>
      <c r="B36" s="7" t="s">
        <v>154</v>
      </c>
      <c r="C36" s="7" t="s">
        <v>155</v>
      </c>
      <c r="D36" s="7" t="s">
        <v>156</v>
      </c>
      <c r="E36" s="7"/>
    </row>
    <row r="37" customFormat="false" ht="15" hidden="false" customHeight="false" outlineLevel="0" collapsed="false">
      <c r="A37" s="7" t="n">
        <v>7100</v>
      </c>
      <c r="B37" s="7" t="s">
        <v>157</v>
      </c>
      <c r="C37" s="7" t="s">
        <v>155</v>
      </c>
      <c r="D37" s="7" t="s">
        <v>156</v>
      </c>
      <c r="E3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11" t="s">
        <v>159</v>
      </c>
    </row>
    <row r="4" customFormat="false" ht="15" hidden="false" customHeight="false" outlineLevel="0" collapsed="false">
      <c r="A4" s="2" t="s">
        <v>94</v>
      </c>
      <c r="B4" s="2" t="s">
        <v>95</v>
      </c>
      <c r="C4" s="2" t="s">
        <v>160</v>
      </c>
      <c r="E4" s="5" t="s">
        <v>161</v>
      </c>
    </row>
    <row r="5" customFormat="false" ht="15" hidden="false" customHeight="false" outlineLevel="0" collapsed="false">
      <c r="A5" s="7" t="n">
        <v>1100</v>
      </c>
      <c r="B5" s="6" t="str">
        <f aca="false">INDEX(COA!$B$4:$B$37,MATCH(A5,COA!$A$4:$A$37,0))</f>
        <v>Bank</v>
      </c>
      <c r="C5" s="10" t="n">
        <v>1500000</v>
      </c>
      <c r="E5" s="12" t="s">
        <v>162</v>
      </c>
      <c r="F5" s="12" t="s">
        <v>163</v>
      </c>
      <c r="G5" s="12" t="s">
        <v>164</v>
      </c>
    </row>
    <row r="6" customFormat="false" ht="15" hidden="false" customHeight="false" outlineLevel="0" collapsed="false">
      <c r="A6" s="7" t="n">
        <v>1200</v>
      </c>
      <c r="B6" s="6" t="str">
        <f aca="false">INDEX(COA!$B$4:$B$37,MATCH(A6,COA!$A$4:$A$37,0))</f>
        <v>Trade receivables</v>
      </c>
      <c r="C6" s="10" t="n">
        <v>600000</v>
      </c>
      <c r="E6" s="7" t="s">
        <v>165</v>
      </c>
      <c r="F6" s="7" t="s">
        <v>166</v>
      </c>
      <c r="G6" s="10" t="n">
        <v>600000</v>
      </c>
    </row>
    <row r="7" customFormat="false" ht="15" hidden="false" customHeight="false" outlineLevel="0" collapsed="false">
      <c r="A7" s="7" t="n">
        <v>1500</v>
      </c>
      <c r="B7" s="6" t="str">
        <f aca="false">INDEX(COA!$B$4:$B$37,MATCH(A7,COA!$A$4:$A$37,0))</f>
        <v>Property, plant and equipment - cost</v>
      </c>
      <c r="C7" s="10" t="n">
        <v>1800000</v>
      </c>
      <c r="E7" s="7" t="s">
        <v>167</v>
      </c>
      <c r="F7" s="7" t="s">
        <v>168</v>
      </c>
      <c r="G7" s="10" t="n">
        <v>250000</v>
      </c>
    </row>
    <row r="8" customFormat="false" ht="15" hidden="false" customHeight="false" outlineLevel="0" collapsed="false">
      <c r="A8" s="7" t="n">
        <v>1510</v>
      </c>
      <c r="B8" s="6" t="str">
        <f aca="false">INDEX(COA!$B$4:$B$37,MATCH(A8,COA!$A$4:$A$37,0))</f>
        <v>Property, plant and equipment - accumulated depreciation</v>
      </c>
      <c r="C8" s="10" t="n">
        <v>-600000</v>
      </c>
    </row>
    <row r="9" customFormat="false" ht="15" hidden="false" customHeight="false" outlineLevel="0" collapsed="false">
      <c r="A9" s="7" t="n">
        <v>2100</v>
      </c>
      <c r="B9" s="6" t="str">
        <f aca="false">INDEX(COA!$B$4:$B$37,MATCH(A9,COA!$A$4:$A$37,0))</f>
        <v>Trade payables</v>
      </c>
      <c r="C9" s="10" t="n">
        <v>-250000</v>
      </c>
    </row>
    <row r="10" customFormat="false" ht="15" hidden="false" customHeight="false" outlineLevel="0" collapsed="false">
      <c r="A10" s="7" t="n">
        <v>2300</v>
      </c>
      <c r="B10" s="6" t="str">
        <f aca="false">INDEX(COA!$B$4:$B$37,MATCH(A10,COA!$A$4:$A$37,0))</f>
        <v>Income tax payable</v>
      </c>
      <c r="C10" s="10" t="n">
        <v>-180000</v>
      </c>
    </row>
    <row r="11" customFormat="false" ht="15" hidden="false" customHeight="false" outlineLevel="0" collapsed="false">
      <c r="A11" s="7" t="n">
        <v>2700</v>
      </c>
      <c r="B11" s="6" t="str">
        <f aca="false">INDEX(COA!$B$4:$B$37,MATCH(A11,COA!$A$4:$A$37,0))</f>
        <v>Deferred tax liability</v>
      </c>
      <c r="C11" s="10" t="n">
        <v>-84000</v>
      </c>
    </row>
    <row r="12" customFormat="false" ht="15" hidden="false" customHeight="false" outlineLevel="0" collapsed="false">
      <c r="A12" s="7" t="n">
        <v>3000</v>
      </c>
      <c r="B12" s="6" t="str">
        <f aca="false">INDEX(COA!$B$4:$B$37,MATCH(A12,COA!$A$4:$A$37,0))</f>
        <v>Share capital</v>
      </c>
      <c r="C12" s="10" t="n">
        <v>-1000000</v>
      </c>
    </row>
    <row r="13" customFormat="false" ht="15" hidden="false" customHeight="false" outlineLevel="0" collapsed="false">
      <c r="A13" s="7" t="n">
        <v>3100</v>
      </c>
      <c r="B13" s="6" t="str">
        <f aca="false">INDEX(COA!$B$4:$B$37,MATCH(A13,COA!$A$4:$A$37,0))</f>
        <v>Retained earnings</v>
      </c>
      <c r="C13" s="10" t="n">
        <v>-1786000</v>
      </c>
    </row>
    <row r="14" customFormat="false" ht="15" hidden="false" customHeight="false" outlineLevel="0" collapsed="false">
      <c r="B14" s="5" t="s">
        <v>169</v>
      </c>
      <c r="C14" s="13" t="n">
        <f aca="false">SUM(C5:C13)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6.1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11" t="s">
        <v>171</v>
      </c>
    </row>
    <row r="4" customFormat="false" ht="23.85" hidden="false" customHeight="false" outlineLevel="0" collapsed="false">
      <c r="A4" s="2" t="s">
        <v>172</v>
      </c>
      <c r="B4" s="2" t="s">
        <v>173</v>
      </c>
      <c r="C4" s="2" t="s">
        <v>166</v>
      </c>
      <c r="D4" s="2" t="s">
        <v>174</v>
      </c>
      <c r="E4" s="2" t="s">
        <v>175</v>
      </c>
      <c r="F4" s="2" t="s">
        <v>176</v>
      </c>
      <c r="G4" s="2" t="s">
        <v>95</v>
      </c>
    </row>
    <row r="5" customFormat="false" ht="15" hidden="false" customHeight="false" outlineLevel="0" collapsed="false">
      <c r="A5" s="14" t="n">
        <v>45658</v>
      </c>
      <c r="B5" s="7" t="s">
        <v>177</v>
      </c>
      <c r="C5" s="7" t="s">
        <v>178</v>
      </c>
      <c r="D5" s="7" t="s">
        <v>179</v>
      </c>
      <c r="E5" s="7" t="n">
        <v>4100</v>
      </c>
      <c r="F5" s="10" t="n">
        <v>550000</v>
      </c>
      <c r="G5" s="6" t="str">
        <f aca="false">IF(E5="","",IFERROR(INDEX(COA!$B$4:$B$37,MATCH(E5,COA!$A$4:$A$37,0)),"INVALID CODE"))</f>
        <v>IT support and maintenance</v>
      </c>
    </row>
    <row r="6" customFormat="false" ht="15" hidden="false" customHeight="false" outlineLevel="0" collapsed="false">
      <c r="A6" s="14" t="n">
        <v>45663</v>
      </c>
      <c r="B6" s="7" t="s">
        <v>180</v>
      </c>
      <c r="C6" s="7" t="s">
        <v>165</v>
      </c>
      <c r="D6" s="7" t="s">
        <v>181</v>
      </c>
      <c r="E6" s="7" t="n">
        <v>4000</v>
      </c>
      <c r="F6" s="10" t="n">
        <v>1800000</v>
      </c>
      <c r="G6" s="6" t="str">
        <f aca="false">IF(E6="","",IFERROR(INDEX(COA!$B$4:$B$37,MATCH(E6,COA!$A$4:$A$37,0)),"INVALID CODE"))</f>
        <v>Software development services</v>
      </c>
    </row>
    <row r="7" customFormat="false" ht="15" hidden="false" customHeight="false" outlineLevel="0" collapsed="false">
      <c r="A7" s="14" t="n">
        <v>45689</v>
      </c>
      <c r="B7" s="7" t="s">
        <v>182</v>
      </c>
      <c r="C7" s="7" t="s">
        <v>178</v>
      </c>
      <c r="D7" s="7" t="s">
        <v>183</v>
      </c>
      <c r="E7" s="7" t="n">
        <v>4100</v>
      </c>
      <c r="F7" s="10" t="n">
        <v>550000</v>
      </c>
      <c r="G7" s="6" t="str">
        <f aca="false">IF(E7="","",IFERROR(INDEX(COA!$B$4:$B$37,MATCH(E7,COA!$A$4:$A$37,0)),"INVALID CODE"))</f>
        <v>IT support and maintenance</v>
      </c>
    </row>
    <row r="8" customFormat="false" ht="15" hidden="false" customHeight="false" outlineLevel="0" collapsed="false">
      <c r="A8" s="14" t="n">
        <v>45717</v>
      </c>
      <c r="B8" s="7" t="s">
        <v>184</v>
      </c>
      <c r="C8" s="7" t="s">
        <v>178</v>
      </c>
      <c r="D8" s="7" t="s">
        <v>185</v>
      </c>
      <c r="E8" s="7" t="n">
        <v>4100</v>
      </c>
      <c r="F8" s="10" t="n">
        <v>550000</v>
      </c>
      <c r="G8" s="6" t="str">
        <f aca="false">IF(E8="","",IFERROR(INDEX(COA!$B$4:$B$37,MATCH(E8,COA!$A$4:$A$37,0)),"INVALID CODE"))</f>
        <v>IT support and maintenance</v>
      </c>
    </row>
    <row r="9" customFormat="false" ht="15" hidden="false" customHeight="false" outlineLevel="0" collapsed="false">
      <c r="A9" s="14" t="n">
        <v>45721</v>
      </c>
      <c r="B9" s="7" t="s">
        <v>186</v>
      </c>
      <c r="C9" s="7" t="s">
        <v>165</v>
      </c>
      <c r="D9" s="7" t="s">
        <v>187</v>
      </c>
      <c r="E9" s="7" t="n">
        <v>4000</v>
      </c>
      <c r="F9" s="10" t="n">
        <v>1200000</v>
      </c>
      <c r="G9" s="6" t="str">
        <f aca="false">IF(E9="","",IFERROR(INDEX(COA!$B$4:$B$37,MATCH(E9,COA!$A$4:$A$37,0)),"INVALID CODE"))</f>
        <v>Software development services</v>
      </c>
    </row>
    <row r="10" customFormat="false" ht="15" hidden="false" customHeight="false" outlineLevel="0" collapsed="false">
      <c r="A10" s="14" t="n">
        <v>45748</v>
      </c>
      <c r="B10" s="7" t="s">
        <v>188</v>
      </c>
      <c r="C10" s="7" t="s">
        <v>178</v>
      </c>
      <c r="D10" s="7" t="s">
        <v>189</v>
      </c>
      <c r="E10" s="7" t="n">
        <v>4100</v>
      </c>
      <c r="F10" s="10" t="n">
        <v>550000</v>
      </c>
      <c r="G10" s="6" t="str">
        <f aca="false">IF(E10="","",IFERROR(INDEX(COA!$B$4:$B$37,MATCH(E10,COA!$A$4:$A$37,0)),"INVALID CODE"))</f>
        <v>IT support and maintenance</v>
      </c>
    </row>
    <row r="11" customFormat="false" ht="15" hidden="false" customHeight="false" outlineLevel="0" collapsed="false">
      <c r="A11" s="14" t="n">
        <v>45755</v>
      </c>
      <c r="B11" s="7" t="s">
        <v>190</v>
      </c>
      <c r="C11" s="7" t="s">
        <v>191</v>
      </c>
      <c r="D11" s="7" t="s">
        <v>192</v>
      </c>
      <c r="E11" s="7" t="n">
        <v>4200</v>
      </c>
      <c r="F11" s="10" t="n">
        <v>900000</v>
      </c>
      <c r="G11" s="6" t="str">
        <f aca="false">IF(E11="","",IFERROR(INDEX(COA!$B$4:$B$37,MATCH(E11,COA!$A$4:$A$37,0)),"INVALID CODE"))</f>
        <v>Training fees</v>
      </c>
    </row>
    <row r="12" customFormat="false" ht="15" hidden="false" customHeight="false" outlineLevel="0" collapsed="false">
      <c r="A12" s="14" t="n">
        <v>45778</v>
      </c>
      <c r="B12" s="7" t="s">
        <v>193</v>
      </c>
      <c r="C12" s="7" t="s">
        <v>178</v>
      </c>
      <c r="D12" s="7" t="s">
        <v>194</v>
      </c>
      <c r="E12" s="7" t="n">
        <v>4100</v>
      </c>
      <c r="F12" s="10" t="n">
        <v>550000</v>
      </c>
      <c r="G12" s="6" t="str">
        <f aca="false">IF(E12="","",IFERROR(INDEX(COA!$B$4:$B$37,MATCH(E12,COA!$A$4:$A$37,0)),"INVALID CODE"))</f>
        <v>IT support and maintenance</v>
      </c>
    </row>
    <row r="13" customFormat="false" ht="15" hidden="false" customHeight="false" outlineLevel="0" collapsed="false">
      <c r="A13" s="14" t="n">
        <v>45809</v>
      </c>
      <c r="B13" s="7" t="s">
        <v>195</v>
      </c>
      <c r="C13" s="7" t="s">
        <v>178</v>
      </c>
      <c r="D13" s="7" t="s">
        <v>196</v>
      </c>
      <c r="E13" s="7" t="n">
        <v>4100</v>
      </c>
      <c r="F13" s="10" t="n">
        <v>550000</v>
      </c>
      <c r="G13" s="6" t="str">
        <f aca="false">IF(E13="","",IFERROR(INDEX(COA!$B$4:$B$37,MATCH(E13,COA!$A$4:$A$37,0)),"INVALID CODE"))</f>
        <v>IT support and maintenance</v>
      </c>
    </row>
    <row r="14" customFormat="false" ht="15" hidden="false" customHeight="false" outlineLevel="0" collapsed="false">
      <c r="A14" s="14" t="n">
        <v>45817</v>
      </c>
      <c r="B14" s="7" t="s">
        <v>197</v>
      </c>
      <c r="C14" s="7" t="s">
        <v>198</v>
      </c>
      <c r="D14" s="7" t="s">
        <v>199</v>
      </c>
      <c r="E14" s="7" t="n">
        <v>4000</v>
      </c>
      <c r="F14" s="10" t="n">
        <v>2500000</v>
      </c>
      <c r="G14" s="6" t="str">
        <f aca="false">IF(E14="","",IFERROR(INDEX(COA!$B$4:$B$37,MATCH(E14,COA!$A$4:$A$37,0)),"INVALID CODE"))</f>
        <v>Software development services</v>
      </c>
    </row>
    <row r="15" customFormat="false" ht="15" hidden="false" customHeight="false" outlineLevel="0" collapsed="false">
      <c r="A15" s="14" t="n">
        <v>45839</v>
      </c>
      <c r="B15" s="7" t="s">
        <v>200</v>
      </c>
      <c r="C15" s="7" t="s">
        <v>178</v>
      </c>
      <c r="D15" s="7" t="s">
        <v>201</v>
      </c>
      <c r="E15" s="7" t="n">
        <v>4100</v>
      </c>
      <c r="F15" s="10" t="n">
        <v>550000</v>
      </c>
      <c r="G15" s="6" t="str">
        <f aca="false">IF(E15="","",IFERROR(INDEX(COA!$B$4:$B$37,MATCH(E15,COA!$A$4:$A$37,0)),"INVALID CODE"))</f>
        <v>IT support and maintenance</v>
      </c>
    </row>
    <row r="16" customFormat="false" ht="15" hidden="false" customHeight="false" outlineLevel="0" collapsed="false">
      <c r="A16" s="14" t="n">
        <v>45870</v>
      </c>
      <c r="B16" s="7" t="s">
        <v>202</v>
      </c>
      <c r="C16" s="7" t="s">
        <v>178</v>
      </c>
      <c r="D16" s="7" t="s">
        <v>203</v>
      </c>
      <c r="E16" s="7" t="n">
        <v>4100</v>
      </c>
      <c r="F16" s="10" t="n">
        <v>550000</v>
      </c>
      <c r="G16" s="6" t="str">
        <f aca="false">IF(E16="","",IFERROR(INDEX(COA!$B$4:$B$37,MATCH(E16,COA!$A$4:$A$37,0)),"INVALID CODE"))</f>
        <v>IT support and maintenance</v>
      </c>
    </row>
    <row r="17" customFormat="false" ht="15" hidden="false" customHeight="false" outlineLevel="0" collapsed="false">
      <c r="A17" s="14" t="n">
        <v>45881</v>
      </c>
      <c r="B17" s="7" t="s">
        <v>204</v>
      </c>
      <c r="C17" s="7" t="s">
        <v>198</v>
      </c>
      <c r="D17" s="7" t="s">
        <v>205</v>
      </c>
      <c r="E17" s="7" t="n">
        <v>4000</v>
      </c>
      <c r="F17" s="10" t="n">
        <v>2000000</v>
      </c>
      <c r="G17" s="6" t="str">
        <f aca="false">IF(E17="","",IFERROR(INDEX(COA!$B$4:$B$37,MATCH(E17,COA!$A$4:$A$37,0)),"INVALID CODE"))</f>
        <v>Software development services</v>
      </c>
    </row>
    <row r="18" customFormat="false" ht="15" hidden="false" customHeight="false" outlineLevel="0" collapsed="false">
      <c r="A18" s="14" t="n">
        <v>45901</v>
      </c>
      <c r="B18" s="7" t="s">
        <v>206</v>
      </c>
      <c r="C18" s="7" t="s">
        <v>178</v>
      </c>
      <c r="D18" s="7" t="s">
        <v>207</v>
      </c>
      <c r="E18" s="7" t="n">
        <v>4100</v>
      </c>
      <c r="F18" s="10" t="n">
        <v>550000</v>
      </c>
      <c r="G18" s="6" t="str">
        <f aca="false">IF(E18="","",IFERROR(INDEX(COA!$B$4:$B$37,MATCH(E18,COA!$A$4:$A$37,0)),"INVALID CODE"))</f>
        <v>IT support and maintenance</v>
      </c>
    </row>
    <row r="19" customFormat="false" ht="15" hidden="false" customHeight="false" outlineLevel="0" collapsed="false">
      <c r="A19" s="14" t="n">
        <v>45909</v>
      </c>
      <c r="B19" s="7" t="s">
        <v>208</v>
      </c>
      <c r="C19" s="7" t="s">
        <v>191</v>
      </c>
      <c r="D19" s="7" t="s">
        <v>209</v>
      </c>
      <c r="E19" s="7" t="n">
        <v>4200</v>
      </c>
      <c r="F19" s="10" t="n">
        <v>1050000</v>
      </c>
      <c r="G19" s="6" t="str">
        <f aca="false">IF(E19="","",IFERROR(INDEX(COA!$B$4:$B$37,MATCH(E19,COA!$A$4:$A$37,0)),"INVALID CODE"))</f>
        <v>Training fees</v>
      </c>
    </row>
    <row r="20" customFormat="false" ht="15" hidden="false" customHeight="false" outlineLevel="0" collapsed="false">
      <c r="A20" s="14" t="n">
        <v>45931</v>
      </c>
      <c r="B20" s="7" t="s">
        <v>210</v>
      </c>
      <c r="C20" s="7" t="s">
        <v>178</v>
      </c>
      <c r="D20" s="7" t="s">
        <v>211</v>
      </c>
      <c r="E20" s="7" t="n">
        <v>4100</v>
      </c>
      <c r="F20" s="10" t="n">
        <v>550000</v>
      </c>
      <c r="G20" s="6" t="str">
        <f aca="false">IF(E20="","",IFERROR(INDEX(COA!$B$4:$B$37,MATCH(E20,COA!$A$4:$A$37,0)),"INVALID CODE"))</f>
        <v>IT support and maintenance</v>
      </c>
    </row>
    <row r="21" customFormat="false" ht="15" hidden="false" customHeight="false" outlineLevel="0" collapsed="false">
      <c r="A21" s="14" t="n">
        <v>45946</v>
      </c>
      <c r="B21" s="7" t="s">
        <v>212</v>
      </c>
      <c r="C21" s="7" t="s">
        <v>213</v>
      </c>
      <c r="D21" s="7" t="s">
        <v>214</v>
      </c>
      <c r="E21" s="7" t="n">
        <v>4000</v>
      </c>
      <c r="F21" s="10" t="n">
        <v>1800000</v>
      </c>
      <c r="G21" s="6" t="str">
        <f aca="false">IF(E21="","",IFERROR(INDEX(COA!$B$4:$B$37,MATCH(E21,COA!$A$4:$A$37,0)),"INVALID CODE"))</f>
        <v>Software development services</v>
      </c>
    </row>
    <row r="22" customFormat="false" ht="15" hidden="false" customHeight="false" outlineLevel="0" collapsed="false">
      <c r="A22" s="14" t="n">
        <v>45962</v>
      </c>
      <c r="B22" s="7" t="s">
        <v>215</v>
      </c>
      <c r="C22" s="7" t="s">
        <v>178</v>
      </c>
      <c r="D22" s="7" t="s">
        <v>216</v>
      </c>
      <c r="E22" s="7" t="n">
        <v>4100</v>
      </c>
      <c r="F22" s="10" t="n">
        <v>550000</v>
      </c>
      <c r="G22" s="6" t="str">
        <f aca="false">IF(E22="","",IFERROR(INDEX(COA!$B$4:$B$37,MATCH(E22,COA!$A$4:$A$37,0)),"INVALID CODE"))</f>
        <v>IT support and maintenance</v>
      </c>
    </row>
    <row r="23" customFormat="false" ht="15" hidden="false" customHeight="false" outlineLevel="0" collapsed="false">
      <c r="A23" s="14" t="n">
        <v>45992</v>
      </c>
      <c r="B23" s="7" t="s">
        <v>217</v>
      </c>
      <c r="C23" s="7" t="s">
        <v>178</v>
      </c>
      <c r="D23" s="7" t="s">
        <v>218</v>
      </c>
      <c r="E23" s="7" t="n">
        <v>4100</v>
      </c>
      <c r="F23" s="10" t="n">
        <v>550000</v>
      </c>
      <c r="G23" s="6" t="str">
        <f aca="false">IF(E23="","",IFERROR(INDEX(COA!$B$4:$B$37,MATCH(E23,COA!$A$4:$A$37,0)),"INVALID CODE"))</f>
        <v>IT support and maintenance</v>
      </c>
    </row>
    <row r="24" customFormat="false" ht="15" hidden="false" customHeight="false" outlineLevel="0" collapsed="false">
      <c r="A24" s="14" t="n">
        <v>46003</v>
      </c>
      <c r="B24" s="7" t="s">
        <v>219</v>
      </c>
      <c r="C24" s="7" t="s">
        <v>191</v>
      </c>
      <c r="D24" s="7" t="s">
        <v>220</v>
      </c>
      <c r="E24" s="7" t="n">
        <v>4200</v>
      </c>
      <c r="F24" s="10" t="n">
        <v>1100000</v>
      </c>
      <c r="G24" s="6" t="str">
        <f aca="false">IF(E24="","",IFERROR(INDEX(COA!$B$4:$B$37,MATCH(E24,COA!$A$4:$A$37,0)),"INVALID CODE"))</f>
        <v>Training fees</v>
      </c>
    </row>
    <row r="25" customFormat="false" ht="15" hidden="false" customHeight="false" outlineLevel="0" collapsed="false">
      <c r="A25" s="14" t="n">
        <v>46006</v>
      </c>
      <c r="B25" s="7" t="s">
        <v>221</v>
      </c>
      <c r="C25" s="7" t="s">
        <v>213</v>
      </c>
      <c r="D25" s="7" t="s">
        <v>222</v>
      </c>
      <c r="E25" s="7" t="n">
        <v>4100</v>
      </c>
      <c r="F25" s="10" t="n">
        <v>600000</v>
      </c>
      <c r="G25" s="6" t="str">
        <f aca="false">IF(E25="","",IFERROR(INDEX(COA!$B$4:$B$37,MATCH(E25,COA!$A$4:$A$37,0)),"INVALID CODE"))</f>
        <v>IT support and maintenance</v>
      </c>
    </row>
    <row r="26" customFormat="false" ht="15" hidden="false" customHeight="false" outlineLevel="0" collapsed="false">
      <c r="G26" s="6" t="str">
        <f aca="false">IF(E26="","",IFERROR(INDEX(COA!$B$4:$B$37,MATCH(E26,COA!$A$4:$A$37,0)),"INVALID CODE"))</f>
        <v/>
      </c>
    </row>
    <row r="27" customFormat="false" ht="15" hidden="false" customHeight="false" outlineLevel="0" collapsed="false">
      <c r="G27" s="6" t="str">
        <f aca="false">IF(E27="","",IFERROR(INDEX(COA!$B$4:$B$37,MATCH(E27,COA!$A$4:$A$37,0)),"INVALID CODE"))</f>
        <v/>
      </c>
    </row>
    <row r="28" customFormat="false" ht="15" hidden="false" customHeight="false" outlineLevel="0" collapsed="false">
      <c r="G28" s="6" t="str">
        <f aca="false">IF(E28="","",IFERROR(INDEX(COA!$B$4:$B$37,MATCH(E28,COA!$A$4:$A$37,0)),"INVALID CODE"))</f>
        <v/>
      </c>
    </row>
    <row r="29" customFormat="false" ht="15" hidden="false" customHeight="false" outlineLevel="0" collapsed="false">
      <c r="G29" s="6" t="str">
        <f aca="false">IF(E29="","",IFERROR(INDEX(COA!$B$4:$B$37,MATCH(E29,COA!$A$4:$A$37,0)),"INVALID CODE"))</f>
        <v/>
      </c>
    </row>
    <row r="30" customFormat="false" ht="15" hidden="false" customHeight="false" outlineLevel="0" collapsed="false">
      <c r="G30" s="6" t="str">
        <f aca="false">IF(E30="","",IFERROR(INDEX(COA!$B$4:$B$37,MATCH(E30,COA!$A$4:$A$37,0)),"INVALID CODE"))</f>
        <v/>
      </c>
    </row>
    <row r="31" customFormat="false" ht="15" hidden="false" customHeight="false" outlineLevel="0" collapsed="false">
      <c r="G31" s="6" t="str">
        <f aca="false">IF(E31="","",IFERROR(INDEX(COA!$B$4:$B$37,MATCH(E31,COA!$A$4:$A$37,0)),"INVALID CODE"))</f>
        <v/>
      </c>
    </row>
    <row r="32" customFormat="false" ht="15" hidden="false" customHeight="false" outlineLevel="0" collapsed="false">
      <c r="G32" s="6" t="str">
        <f aca="false">IF(E32="","",IFERROR(INDEX(COA!$B$4:$B$37,MATCH(E32,COA!$A$4:$A$37,0)),"INVALID CODE"))</f>
        <v/>
      </c>
    </row>
    <row r="33" customFormat="false" ht="15" hidden="false" customHeight="false" outlineLevel="0" collapsed="false">
      <c r="G33" s="6" t="str">
        <f aca="false">IF(E33="","",IFERROR(INDEX(COA!$B$4:$B$37,MATCH(E33,COA!$A$4:$A$37,0)),"INVALID CODE"))</f>
        <v/>
      </c>
    </row>
    <row r="34" customFormat="false" ht="15" hidden="false" customHeight="false" outlineLevel="0" collapsed="false">
      <c r="G34" s="6" t="str">
        <f aca="false">IF(E34="","",IFERROR(INDEX(COA!$B$4:$B$37,MATCH(E34,COA!$A$4:$A$37,0)),"INVALID CODE"))</f>
        <v/>
      </c>
    </row>
    <row r="35" customFormat="false" ht="15" hidden="false" customHeight="false" outlineLevel="0" collapsed="false">
      <c r="G35" s="6" t="str">
        <f aca="false">IF(E35="","",IFERROR(INDEX(COA!$B$4:$B$37,MATCH(E35,COA!$A$4:$A$37,0)),"INVALID CODE"))</f>
        <v/>
      </c>
    </row>
    <row r="36" customFormat="false" ht="15" hidden="false" customHeight="false" outlineLevel="0" collapsed="false">
      <c r="G36" s="6" t="str">
        <f aca="false">IF(E36="","",IFERROR(INDEX(COA!$B$4:$B$37,MATCH(E36,COA!$A$4:$A$37,0)),"INVALID CODE"))</f>
        <v/>
      </c>
    </row>
    <row r="37" customFormat="false" ht="15" hidden="false" customHeight="false" outlineLevel="0" collapsed="false">
      <c r="G37" s="6" t="str">
        <f aca="false">IF(E37="","",IFERROR(INDEX(COA!$B$4:$B$37,MATCH(E37,COA!$A$4:$A$37,0)),"INVALID CODE"))</f>
        <v/>
      </c>
    </row>
    <row r="38" customFormat="false" ht="15" hidden="false" customHeight="false" outlineLevel="0" collapsed="false">
      <c r="G38" s="6" t="str">
        <f aca="false">IF(E38="","",IFERROR(INDEX(COA!$B$4:$B$37,MATCH(E38,COA!$A$4:$A$37,0)),"INVALID CODE"))</f>
        <v/>
      </c>
    </row>
    <row r="39" customFormat="false" ht="15" hidden="false" customHeight="false" outlineLevel="0" collapsed="false">
      <c r="G39" s="6" t="str">
        <f aca="false">IF(E39="","",IFERROR(INDEX(COA!$B$4:$B$37,MATCH(E39,COA!$A$4:$A$37,0)),"INVALID CODE"))</f>
        <v/>
      </c>
    </row>
    <row r="40" customFormat="false" ht="15" hidden="false" customHeight="false" outlineLevel="0" collapsed="false">
      <c r="G40" s="6" t="str">
        <f aca="false">IF(E40="","",IFERROR(INDEX(COA!$B$4:$B$37,MATCH(E40,COA!$A$4:$A$37,0)),"INVALID CODE"))</f>
        <v/>
      </c>
    </row>
    <row r="41" customFormat="false" ht="15" hidden="false" customHeight="false" outlineLevel="0" collapsed="false">
      <c r="G41" s="6" t="str">
        <f aca="false">IF(E41="","",IFERROR(INDEX(COA!$B$4:$B$37,MATCH(E41,COA!$A$4:$A$37,0)),"INVALID CODE"))</f>
        <v/>
      </c>
    </row>
    <row r="42" customFormat="false" ht="15" hidden="false" customHeight="false" outlineLevel="0" collapsed="false">
      <c r="G42" s="6" t="str">
        <f aca="false">IF(E42="","",IFERROR(INDEX(COA!$B$4:$B$37,MATCH(E42,COA!$A$4:$A$37,0)),"INVALID CODE"))</f>
        <v/>
      </c>
    </row>
    <row r="43" customFormat="false" ht="15" hidden="false" customHeight="false" outlineLevel="0" collapsed="false">
      <c r="G43" s="6" t="str">
        <f aca="false">IF(E43="","",IFERROR(INDEX(COA!$B$4:$B$37,MATCH(E43,COA!$A$4:$A$37,0)),"INVALID CODE"))</f>
        <v/>
      </c>
    </row>
    <row r="44" customFormat="false" ht="15" hidden="false" customHeight="false" outlineLevel="0" collapsed="false">
      <c r="G44" s="6" t="str">
        <f aca="false">IF(E44="","",IFERROR(INDEX(COA!$B$4:$B$37,MATCH(E44,COA!$A$4:$A$37,0)),"INVALID CODE"))</f>
        <v/>
      </c>
    </row>
    <row r="45" customFormat="false" ht="15" hidden="false" customHeight="false" outlineLevel="0" collapsed="false">
      <c r="G45" s="6" t="str">
        <f aca="false">IF(E45="","",IFERROR(INDEX(COA!$B$4:$B$37,MATCH(E45,COA!$A$4:$A$37,0)),"INVALID CODE"))</f>
        <v/>
      </c>
    </row>
    <row r="46" customFormat="false" ht="15" hidden="false" customHeight="false" outlineLevel="0" collapsed="false">
      <c r="G46" s="6" t="str">
        <f aca="false">IF(E46="","",IFERROR(INDEX(COA!$B$4:$B$37,MATCH(E46,COA!$A$4:$A$37,0)),"INVALID CODE"))</f>
        <v/>
      </c>
    </row>
    <row r="47" customFormat="false" ht="15" hidden="false" customHeight="false" outlineLevel="0" collapsed="false">
      <c r="G47" s="6" t="str">
        <f aca="false">IF(E47="","",IFERROR(INDEX(COA!$B$4:$B$37,MATCH(E47,COA!$A$4:$A$37,0)),"INVALID CODE"))</f>
        <v/>
      </c>
    </row>
    <row r="48" customFormat="false" ht="15" hidden="false" customHeight="false" outlineLevel="0" collapsed="false">
      <c r="G48" s="6" t="str">
        <f aca="false">IF(E48="","",IFERROR(INDEX(COA!$B$4:$B$37,MATCH(E48,COA!$A$4:$A$37,0)),"INVALID CODE"))</f>
        <v/>
      </c>
    </row>
    <row r="49" customFormat="false" ht="15" hidden="false" customHeight="false" outlineLevel="0" collapsed="false">
      <c r="G49" s="6" t="str">
        <f aca="false">IF(E49="","",IFERROR(INDEX(COA!$B$4:$B$37,MATCH(E49,COA!$A$4:$A$37,0)),"INVALID CODE"))</f>
        <v/>
      </c>
    </row>
    <row r="50" customFormat="false" ht="15" hidden="false" customHeight="false" outlineLevel="0" collapsed="false">
      <c r="G50" s="6" t="str">
        <f aca="false">IF(E50="","",IFERROR(INDEX(COA!$B$4:$B$37,MATCH(E50,COA!$A$4:$A$37,0)),"INVALID CODE"))</f>
        <v/>
      </c>
    </row>
    <row r="51" customFormat="false" ht="15" hidden="false" customHeight="false" outlineLevel="0" collapsed="false">
      <c r="G51" s="6" t="str">
        <f aca="false">IF(E51="","",IFERROR(INDEX(COA!$B$4:$B$37,MATCH(E51,COA!$A$4:$A$37,0)),"INVALID CODE"))</f>
        <v/>
      </c>
    </row>
    <row r="52" customFormat="false" ht="15" hidden="false" customHeight="false" outlineLevel="0" collapsed="false">
      <c r="G52" s="6" t="str">
        <f aca="false">IF(E52="","",IFERROR(INDEX(COA!$B$4:$B$37,MATCH(E52,COA!$A$4:$A$37,0)),"INVALID CODE"))</f>
        <v/>
      </c>
    </row>
    <row r="53" customFormat="false" ht="15" hidden="false" customHeight="false" outlineLevel="0" collapsed="false">
      <c r="G53" s="6" t="str">
        <f aca="false">IF(E53="","",IFERROR(INDEX(COA!$B$4:$B$37,MATCH(E53,COA!$A$4:$A$37,0)),"INVALID CODE"))</f>
        <v/>
      </c>
    </row>
    <row r="54" customFormat="false" ht="15" hidden="false" customHeight="false" outlineLevel="0" collapsed="false">
      <c r="G54" s="6" t="str">
        <f aca="false">IF(E54="","",IFERROR(INDEX(COA!$B$4:$B$37,MATCH(E54,COA!$A$4:$A$37,0)),"INVALID CODE"))</f>
        <v/>
      </c>
    </row>
    <row r="55" customFormat="false" ht="15" hidden="false" customHeight="false" outlineLevel="0" collapsed="false">
      <c r="G55" s="6" t="str">
        <f aca="false">IF(E55="","",IFERROR(INDEX(COA!$B$4:$B$37,MATCH(E55,COA!$A$4:$A$37,0)),"INVALID CODE"))</f>
        <v/>
      </c>
    </row>
    <row r="56" customFormat="false" ht="15" hidden="false" customHeight="false" outlineLevel="0" collapsed="false">
      <c r="G56" s="6" t="str">
        <f aca="false">IF(E56="","",IFERROR(INDEX(COA!$B$4:$B$37,MATCH(E56,COA!$A$4:$A$37,0)),"INVALID CODE"))</f>
        <v/>
      </c>
    </row>
    <row r="57" customFormat="false" ht="15" hidden="false" customHeight="false" outlineLevel="0" collapsed="false">
      <c r="G57" s="6" t="str">
        <f aca="false">IF(E57="","",IFERROR(INDEX(COA!$B$4:$B$37,MATCH(E57,COA!$A$4:$A$37,0)),"INVALID CODE"))</f>
        <v/>
      </c>
    </row>
    <row r="58" customFormat="false" ht="15" hidden="false" customHeight="false" outlineLevel="0" collapsed="false">
      <c r="G58" s="6" t="str">
        <f aca="false">IF(E58="","",IFERROR(INDEX(COA!$B$4:$B$37,MATCH(E58,COA!$A$4:$A$37,0)),"INVALID CODE"))</f>
        <v/>
      </c>
    </row>
    <row r="59" customFormat="false" ht="15" hidden="false" customHeight="false" outlineLevel="0" collapsed="false">
      <c r="G59" s="6" t="str">
        <f aca="false">IF(E59="","",IFERROR(INDEX(COA!$B$4:$B$37,MATCH(E59,COA!$A$4:$A$37,0)),"INVALID CODE"))</f>
        <v/>
      </c>
    </row>
    <row r="60" customFormat="false" ht="15" hidden="false" customHeight="false" outlineLevel="0" collapsed="false">
      <c r="G60" s="6" t="str">
        <f aca="false">IF(E60="","",IFERROR(INDEX(COA!$B$4:$B$37,MATCH(E60,COA!$A$4:$A$37,0)),"INVALID CODE"))</f>
        <v/>
      </c>
    </row>
    <row r="61" customFormat="false" ht="15" hidden="false" customHeight="false" outlineLevel="0" collapsed="false">
      <c r="G61" s="6" t="str">
        <f aca="false">IF(E61="","",IFERROR(INDEX(COA!$B$4:$B$37,MATCH(E61,COA!$A$4:$A$37,0)),"INVALID CODE"))</f>
        <v/>
      </c>
    </row>
    <row r="62" customFormat="false" ht="15" hidden="false" customHeight="false" outlineLevel="0" collapsed="false">
      <c r="G62" s="6" t="str">
        <f aca="false">IF(E62="","",IFERROR(INDEX(COA!$B$4:$B$37,MATCH(E62,COA!$A$4:$A$37,0)),"INVALID CODE"))</f>
        <v/>
      </c>
    </row>
    <row r="63" customFormat="false" ht="15" hidden="false" customHeight="false" outlineLevel="0" collapsed="false">
      <c r="G63" s="6" t="str">
        <f aca="false">IF(E63="","",IFERROR(INDEX(COA!$B$4:$B$37,MATCH(E63,COA!$A$4:$A$37,0)),"INVALID CODE"))</f>
        <v/>
      </c>
    </row>
    <row r="64" customFormat="false" ht="15" hidden="false" customHeight="false" outlineLevel="0" collapsed="false">
      <c r="G64" s="6" t="str">
        <f aca="false">IF(E64="","",IFERROR(INDEX(COA!$B$4:$B$37,MATCH(E64,COA!$A$4:$A$37,0)),"INVALID CODE"))</f>
        <v/>
      </c>
    </row>
    <row r="65" customFormat="false" ht="15" hidden="false" customHeight="false" outlineLevel="0" collapsed="false">
      <c r="G65" s="6" t="str">
        <f aca="false">IF(E65="","",IFERROR(INDEX(COA!$B$4:$B$37,MATCH(E65,COA!$A$4:$A$37,0)),"INVALID CODE"))</f>
        <v/>
      </c>
    </row>
  </sheetData>
  <dataValidations count="1">
    <dataValidation allowBlank="true" error="Use a code from the COA sheet." errorStyle="stop" errorTitle="Invalid code" operator="between" showDropDown="false" showErrorMessage="true" showInputMessage="false" sqref="E5:E65" type="list">
      <formula1>COA!$A$4:$A$37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6.1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11" t="s">
        <v>224</v>
      </c>
    </row>
    <row r="4" customFormat="false" ht="23.85" hidden="false" customHeight="false" outlineLevel="0" collapsed="false">
      <c r="A4" s="2" t="s">
        <v>172</v>
      </c>
      <c r="B4" s="2" t="s">
        <v>225</v>
      </c>
      <c r="C4" s="2" t="s">
        <v>168</v>
      </c>
      <c r="D4" s="2" t="s">
        <v>174</v>
      </c>
      <c r="E4" s="2" t="s">
        <v>226</v>
      </c>
      <c r="F4" s="2" t="s">
        <v>176</v>
      </c>
      <c r="G4" s="2" t="s">
        <v>95</v>
      </c>
    </row>
    <row r="5" customFormat="false" ht="15" hidden="false" customHeight="false" outlineLevel="0" collapsed="false">
      <c r="A5" s="14" t="n">
        <v>45658</v>
      </c>
      <c r="B5" s="7" t="s">
        <v>227</v>
      </c>
      <c r="C5" s="7" t="s">
        <v>228</v>
      </c>
      <c r="D5" s="7" t="s">
        <v>229</v>
      </c>
      <c r="E5" s="7" t="n">
        <v>5100</v>
      </c>
      <c r="F5" s="10" t="n">
        <v>350000</v>
      </c>
      <c r="G5" s="6" t="str">
        <f aca="false">IF(E5="","",IFERROR(INDEX(COA!$B$4:$B$37,MATCH(E5,COA!$A$4:$A$37,0)),"INVALID CODE"))</f>
        <v>Office rent</v>
      </c>
    </row>
    <row r="6" customFormat="false" ht="15" hidden="false" customHeight="false" outlineLevel="0" collapsed="false">
      <c r="A6" s="14" t="n">
        <v>45677</v>
      </c>
      <c r="B6" s="7" t="s">
        <v>230</v>
      </c>
      <c r="C6" s="7" t="s">
        <v>231</v>
      </c>
      <c r="D6" s="7" t="s">
        <v>232</v>
      </c>
      <c r="E6" s="7" t="n">
        <v>5200</v>
      </c>
      <c r="F6" s="10" t="n">
        <v>60000</v>
      </c>
      <c r="G6" s="6" t="str">
        <f aca="false">IF(E6="","",IFERROR(INDEX(COA!$B$4:$B$37,MATCH(E6,COA!$A$4:$A$37,0)),"INVALID CODE"))</f>
        <v>Internet and communication</v>
      </c>
    </row>
    <row r="7" customFormat="false" ht="15" hidden="false" customHeight="false" outlineLevel="0" collapsed="false">
      <c r="A7" s="14" t="n">
        <v>45679</v>
      </c>
      <c r="B7" s="7" t="s">
        <v>233</v>
      </c>
      <c r="C7" s="7" t="s">
        <v>234</v>
      </c>
      <c r="D7" s="7" t="s">
        <v>235</v>
      </c>
      <c r="E7" s="7" t="n">
        <v>5300</v>
      </c>
      <c r="F7" s="10" t="n">
        <v>80000</v>
      </c>
      <c r="G7" s="6" t="str">
        <f aca="false">IF(E7="","",IFERROR(INDEX(COA!$B$4:$B$37,MATCH(E7,COA!$A$4:$A$37,0)),"INVALID CODE"))</f>
        <v>Electricity and water</v>
      </c>
    </row>
    <row r="8" customFormat="false" ht="15" hidden="false" customHeight="false" outlineLevel="0" collapsed="false">
      <c r="A8" s="14" t="n">
        <v>45685</v>
      </c>
      <c r="B8" s="7" t="s">
        <v>236</v>
      </c>
      <c r="C8" s="7" t="s">
        <v>167</v>
      </c>
      <c r="D8" s="7" t="s">
        <v>237</v>
      </c>
      <c r="E8" s="7" t="n">
        <v>5000</v>
      </c>
      <c r="F8" s="10" t="n">
        <v>400000</v>
      </c>
      <c r="G8" s="6" t="str">
        <f aca="false">IF(E8="","",IFERROR(INDEX(COA!$B$4:$B$37,MATCH(E8,COA!$A$4:$A$37,0)),"INVALID CODE"))</f>
        <v>Contractor costs</v>
      </c>
    </row>
    <row r="9" customFormat="false" ht="15" hidden="false" customHeight="false" outlineLevel="0" collapsed="false">
      <c r="A9" s="14" t="n">
        <v>45689</v>
      </c>
      <c r="B9" s="7" t="s">
        <v>238</v>
      </c>
      <c r="C9" s="7" t="s">
        <v>228</v>
      </c>
      <c r="D9" s="7" t="s">
        <v>239</v>
      </c>
      <c r="E9" s="7" t="n">
        <v>5100</v>
      </c>
      <c r="F9" s="10" t="n">
        <v>350000</v>
      </c>
      <c r="G9" s="6" t="str">
        <f aca="false">IF(E9="","",IFERROR(INDEX(COA!$B$4:$B$37,MATCH(E9,COA!$A$4:$A$37,0)),"INVALID CODE"))</f>
        <v>Office rent</v>
      </c>
    </row>
    <row r="10" customFormat="false" ht="15" hidden="false" customHeight="false" outlineLevel="0" collapsed="false">
      <c r="A10" s="14" t="n">
        <v>45702</v>
      </c>
      <c r="B10" s="7" t="s">
        <v>240</v>
      </c>
      <c r="C10" s="7" t="s">
        <v>241</v>
      </c>
      <c r="D10" s="7" t="s">
        <v>242</v>
      </c>
      <c r="E10" s="7" t="n">
        <v>5500</v>
      </c>
      <c r="F10" s="10" t="n">
        <v>120000</v>
      </c>
      <c r="G10" s="6" t="str">
        <f aca="false">IF(E10="","",IFERROR(INDEX(COA!$B$4:$B$37,MATCH(E10,COA!$A$4:$A$37,0)),"INVALID CODE"))</f>
        <v>Software subscriptions</v>
      </c>
    </row>
    <row r="11" customFormat="false" ht="15" hidden="false" customHeight="false" outlineLevel="0" collapsed="false">
      <c r="A11" s="14" t="n">
        <v>45708</v>
      </c>
      <c r="B11" s="7" t="s">
        <v>243</v>
      </c>
      <c r="C11" s="7" t="s">
        <v>231</v>
      </c>
      <c r="D11" s="7" t="s">
        <v>244</v>
      </c>
      <c r="E11" s="7" t="n">
        <v>5200</v>
      </c>
      <c r="F11" s="10" t="n">
        <v>60000</v>
      </c>
      <c r="G11" s="6" t="str">
        <f aca="false">IF(E11="","",IFERROR(INDEX(COA!$B$4:$B$37,MATCH(E11,COA!$A$4:$A$37,0)),"INVALID CODE"))</f>
        <v>Internet and communication</v>
      </c>
    </row>
    <row r="12" customFormat="false" ht="15" hidden="false" customHeight="false" outlineLevel="0" collapsed="false">
      <c r="A12" s="14" t="n">
        <v>45710</v>
      </c>
      <c r="B12" s="7" t="s">
        <v>245</v>
      </c>
      <c r="C12" s="7" t="s">
        <v>234</v>
      </c>
      <c r="D12" s="7" t="s">
        <v>246</v>
      </c>
      <c r="E12" s="7" t="n">
        <v>5300</v>
      </c>
      <c r="F12" s="10" t="n">
        <v>80000</v>
      </c>
      <c r="G12" s="6" t="str">
        <f aca="false">IF(E12="","",IFERROR(INDEX(COA!$B$4:$B$37,MATCH(E12,COA!$A$4:$A$37,0)),"INVALID CODE"))</f>
        <v>Electricity and water</v>
      </c>
    </row>
    <row r="13" customFormat="false" ht="15" hidden="false" customHeight="false" outlineLevel="0" collapsed="false">
      <c r="A13" s="14" t="n">
        <v>45716</v>
      </c>
      <c r="B13" s="7" t="s">
        <v>247</v>
      </c>
      <c r="C13" s="7" t="s">
        <v>167</v>
      </c>
      <c r="D13" s="7" t="s">
        <v>248</v>
      </c>
      <c r="E13" s="7" t="n">
        <v>5000</v>
      </c>
      <c r="F13" s="10" t="n">
        <v>400000</v>
      </c>
      <c r="G13" s="6" t="str">
        <f aca="false">IF(E13="","",IFERROR(INDEX(COA!$B$4:$B$37,MATCH(E13,COA!$A$4:$A$37,0)),"INVALID CODE"))</f>
        <v>Contractor costs</v>
      </c>
    </row>
    <row r="14" customFormat="false" ht="15" hidden="false" customHeight="false" outlineLevel="0" collapsed="false">
      <c r="A14" s="14" t="n">
        <v>45717</v>
      </c>
      <c r="B14" s="7" t="s">
        <v>249</v>
      </c>
      <c r="C14" s="7" t="s">
        <v>228</v>
      </c>
      <c r="D14" s="7" t="s">
        <v>250</v>
      </c>
      <c r="E14" s="7" t="n">
        <v>5100</v>
      </c>
      <c r="F14" s="10" t="n">
        <v>350000</v>
      </c>
      <c r="G14" s="6" t="str">
        <f aca="false">IF(E14="","",IFERROR(INDEX(COA!$B$4:$B$37,MATCH(E14,COA!$A$4:$A$37,0)),"INVALID CODE"))</f>
        <v>Office rent</v>
      </c>
    </row>
    <row r="15" customFormat="false" ht="15" hidden="false" customHeight="false" outlineLevel="0" collapsed="false">
      <c r="A15" s="14" t="n">
        <v>45736</v>
      </c>
      <c r="B15" s="7" t="s">
        <v>251</v>
      </c>
      <c r="C15" s="7" t="s">
        <v>231</v>
      </c>
      <c r="D15" s="7" t="s">
        <v>252</v>
      </c>
      <c r="E15" s="7" t="n">
        <v>5200</v>
      </c>
      <c r="F15" s="10" t="n">
        <v>60000</v>
      </c>
      <c r="G15" s="6" t="str">
        <f aca="false">IF(E15="","",IFERROR(INDEX(COA!$B$4:$B$37,MATCH(E15,COA!$A$4:$A$37,0)),"INVALID CODE"))</f>
        <v>Internet and communication</v>
      </c>
    </row>
    <row r="16" customFormat="false" ht="15" hidden="false" customHeight="false" outlineLevel="0" collapsed="false">
      <c r="A16" s="14" t="n">
        <v>45738</v>
      </c>
      <c r="B16" s="7" t="s">
        <v>253</v>
      </c>
      <c r="C16" s="7" t="s">
        <v>234</v>
      </c>
      <c r="D16" s="7" t="s">
        <v>254</v>
      </c>
      <c r="E16" s="7" t="n">
        <v>5300</v>
      </c>
      <c r="F16" s="10" t="n">
        <v>80000</v>
      </c>
      <c r="G16" s="6" t="str">
        <f aca="false">IF(E16="","",IFERROR(INDEX(COA!$B$4:$B$37,MATCH(E16,COA!$A$4:$A$37,0)),"INVALID CODE"))</f>
        <v>Electricity and water</v>
      </c>
    </row>
    <row r="17" customFormat="false" ht="15" hidden="false" customHeight="false" outlineLevel="0" collapsed="false">
      <c r="A17" s="14" t="n">
        <v>45744</v>
      </c>
      <c r="B17" s="7" t="s">
        <v>255</v>
      </c>
      <c r="C17" s="7" t="s">
        <v>167</v>
      </c>
      <c r="D17" s="7" t="s">
        <v>256</v>
      </c>
      <c r="E17" s="7" t="n">
        <v>5000</v>
      </c>
      <c r="F17" s="10" t="n">
        <v>400000</v>
      </c>
      <c r="G17" s="6" t="str">
        <f aca="false">IF(E17="","",IFERROR(INDEX(COA!$B$4:$B$37,MATCH(E17,COA!$A$4:$A$37,0)),"INVALID CODE"))</f>
        <v>Contractor costs</v>
      </c>
    </row>
    <row r="18" customFormat="false" ht="15" hidden="false" customHeight="false" outlineLevel="0" collapsed="false">
      <c r="A18" s="14" t="n">
        <v>45748</v>
      </c>
      <c r="B18" s="7" t="s">
        <v>257</v>
      </c>
      <c r="C18" s="7" t="s">
        <v>228</v>
      </c>
      <c r="D18" s="7" t="s">
        <v>258</v>
      </c>
      <c r="E18" s="7" t="n">
        <v>5100</v>
      </c>
      <c r="F18" s="10" t="n">
        <v>350000</v>
      </c>
      <c r="G18" s="6" t="str">
        <f aca="false">IF(E18="","",IFERROR(INDEX(COA!$B$4:$B$37,MATCH(E18,COA!$A$4:$A$37,0)),"INVALID CODE"))</f>
        <v>Office rent</v>
      </c>
    </row>
    <row r="19" customFormat="false" ht="15" hidden="false" customHeight="false" outlineLevel="0" collapsed="false">
      <c r="A19" s="14" t="n">
        <v>45767</v>
      </c>
      <c r="B19" s="7" t="s">
        <v>259</v>
      </c>
      <c r="C19" s="7" t="s">
        <v>231</v>
      </c>
      <c r="D19" s="7" t="s">
        <v>260</v>
      </c>
      <c r="E19" s="7" t="n">
        <v>5200</v>
      </c>
      <c r="F19" s="10" t="n">
        <v>60000</v>
      </c>
      <c r="G19" s="6" t="str">
        <f aca="false">IF(E19="","",IFERROR(INDEX(COA!$B$4:$B$37,MATCH(E19,COA!$A$4:$A$37,0)),"INVALID CODE"))</f>
        <v>Internet and communication</v>
      </c>
    </row>
    <row r="20" customFormat="false" ht="15" hidden="false" customHeight="false" outlineLevel="0" collapsed="false">
      <c r="A20" s="14" t="n">
        <v>45769</v>
      </c>
      <c r="B20" s="7" t="s">
        <v>261</v>
      </c>
      <c r="C20" s="7" t="s">
        <v>234</v>
      </c>
      <c r="D20" s="7" t="s">
        <v>262</v>
      </c>
      <c r="E20" s="7" t="n">
        <v>5300</v>
      </c>
      <c r="F20" s="10" t="n">
        <v>80000</v>
      </c>
      <c r="G20" s="6" t="str">
        <f aca="false">IF(E20="","",IFERROR(INDEX(COA!$B$4:$B$37,MATCH(E20,COA!$A$4:$A$37,0)),"INVALID CODE"))</f>
        <v>Electricity and water</v>
      </c>
    </row>
    <row r="21" customFormat="false" ht="15" hidden="false" customHeight="false" outlineLevel="0" collapsed="false">
      <c r="A21" s="14" t="n">
        <v>45775</v>
      </c>
      <c r="B21" s="7" t="s">
        <v>263</v>
      </c>
      <c r="C21" s="7" t="s">
        <v>167</v>
      </c>
      <c r="D21" s="7" t="s">
        <v>264</v>
      </c>
      <c r="E21" s="7" t="n">
        <v>5000</v>
      </c>
      <c r="F21" s="10" t="n">
        <v>400000</v>
      </c>
      <c r="G21" s="6" t="str">
        <f aca="false">IF(E21="","",IFERROR(INDEX(COA!$B$4:$B$37,MATCH(E21,COA!$A$4:$A$37,0)),"INVALID CODE"))</f>
        <v>Contractor costs</v>
      </c>
    </row>
    <row r="22" customFormat="false" ht="15" hidden="false" customHeight="false" outlineLevel="0" collapsed="false">
      <c r="A22" s="14" t="n">
        <v>45778</v>
      </c>
      <c r="B22" s="7" t="s">
        <v>265</v>
      </c>
      <c r="C22" s="7" t="s">
        <v>228</v>
      </c>
      <c r="D22" s="7" t="s">
        <v>266</v>
      </c>
      <c r="E22" s="7" t="n">
        <v>5100</v>
      </c>
      <c r="F22" s="10" t="n">
        <v>350000</v>
      </c>
      <c r="G22" s="6" t="str">
        <f aca="false">IF(E22="","",IFERROR(INDEX(COA!$B$4:$B$37,MATCH(E22,COA!$A$4:$A$37,0)),"INVALID CODE"))</f>
        <v>Office rent</v>
      </c>
    </row>
    <row r="23" customFormat="false" ht="15" hidden="false" customHeight="false" outlineLevel="0" collapsed="false">
      <c r="A23" s="14" t="n">
        <v>45789</v>
      </c>
      <c r="B23" s="7" t="s">
        <v>267</v>
      </c>
      <c r="C23" s="7" t="s">
        <v>268</v>
      </c>
      <c r="D23" s="7" t="s">
        <v>269</v>
      </c>
      <c r="E23" s="7" t="n">
        <v>5700</v>
      </c>
      <c r="F23" s="10" t="n">
        <v>150000</v>
      </c>
      <c r="G23" s="6" t="str">
        <f aca="false">IF(E23="","",IFERROR(INDEX(COA!$B$4:$B$37,MATCH(E23,COA!$A$4:$A$37,0)),"INVALID CODE"))</f>
        <v>Marketing</v>
      </c>
    </row>
    <row r="24" customFormat="false" ht="15" hidden="false" customHeight="false" outlineLevel="0" collapsed="false">
      <c r="A24" s="14" t="n">
        <v>45797</v>
      </c>
      <c r="B24" s="7" t="s">
        <v>270</v>
      </c>
      <c r="C24" s="7" t="s">
        <v>231</v>
      </c>
      <c r="D24" s="7" t="s">
        <v>271</v>
      </c>
      <c r="E24" s="7" t="n">
        <v>5200</v>
      </c>
      <c r="F24" s="10" t="n">
        <v>60000</v>
      </c>
      <c r="G24" s="6" t="str">
        <f aca="false">IF(E24="","",IFERROR(INDEX(COA!$B$4:$B$37,MATCH(E24,COA!$A$4:$A$37,0)),"INVALID CODE"))</f>
        <v>Internet and communication</v>
      </c>
    </row>
    <row r="25" customFormat="false" ht="15" hidden="false" customHeight="false" outlineLevel="0" collapsed="false">
      <c r="A25" s="14" t="n">
        <v>45799</v>
      </c>
      <c r="B25" s="7" t="s">
        <v>272</v>
      </c>
      <c r="C25" s="7" t="s">
        <v>234</v>
      </c>
      <c r="D25" s="7" t="s">
        <v>273</v>
      </c>
      <c r="E25" s="7" t="n">
        <v>5300</v>
      </c>
      <c r="F25" s="10" t="n">
        <v>80000</v>
      </c>
      <c r="G25" s="6" t="str">
        <f aca="false">IF(E25="","",IFERROR(INDEX(COA!$B$4:$B$37,MATCH(E25,COA!$A$4:$A$37,0)),"INVALID CODE"))</f>
        <v>Electricity and water</v>
      </c>
    </row>
    <row r="26" customFormat="false" ht="15" hidden="false" customHeight="false" outlineLevel="0" collapsed="false">
      <c r="A26" s="14" t="n">
        <v>45805</v>
      </c>
      <c r="B26" s="7" t="s">
        <v>274</v>
      </c>
      <c r="C26" s="7" t="s">
        <v>167</v>
      </c>
      <c r="D26" s="7" t="s">
        <v>275</v>
      </c>
      <c r="E26" s="7" t="n">
        <v>5000</v>
      </c>
      <c r="F26" s="10" t="n">
        <v>400000</v>
      </c>
      <c r="G26" s="6" t="str">
        <f aca="false">IF(E26="","",IFERROR(INDEX(COA!$B$4:$B$37,MATCH(E26,COA!$A$4:$A$37,0)),"INVALID CODE"))</f>
        <v>Contractor costs</v>
      </c>
    </row>
    <row r="27" customFormat="false" ht="15" hidden="false" customHeight="false" outlineLevel="0" collapsed="false">
      <c r="A27" s="14" t="n">
        <v>45809</v>
      </c>
      <c r="B27" s="7" t="s">
        <v>276</v>
      </c>
      <c r="C27" s="7" t="s">
        <v>228</v>
      </c>
      <c r="D27" s="7" t="s">
        <v>277</v>
      </c>
      <c r="E27" s="7" t="n">
        <v>5100</v>
      </c>
      <c r="F27" s="10" t="n">
        <v>350000</v>
      </c>
      <c r="G27" s="6" t="str">
        <f aca="false">IF(E27="","",IFERROR(INDEX(COA!$B$4:$B$37,MATCH(E27,COA!$A$4:$A$37,0)),"INVALID CODE"))</f>
        <v>Office rent</v>
      </c>
    </row>
    <row r="28" customFormat="false" ht="15" hidden="false" customHeight="false" outlineLevel="0" collapsed="false">
      <c r="A28" s="14" t="n">
        <v>45828</v>
      </c>
      <c r="B28" s="7" t="s">
        <v>278</v>
      </c>
      <c r="C28" s="7" t="s">
        <v>231</v>
      </c>
      <c r="D28" s="7" t="s">
        <v>279</v>
      </c>
      <c r="E28" s="7" t="n">
        <v>5200</v>
      </c>
      <c r="F28" s="10" t="n">
        <v>60000</v>
      </c>
      <c r="G28" s="6" t="str">
        <f aca="false">IF(E28="","",IFERROR(INDEX(COA!$B$4:$B$37,MATCH(E28,COA!$A$4:$A$37,0)),"INVALID CODE"))</f>
        <v>Internet and communication</v>
      </c>
    </row>
    <row r="29" customFormat="false" ht="15" hidden="false" customHeight="false" outlineLevel="0" collapsed="false">
      <c r="A29" s="14" t="n">
        <v>45830</v>
      </c>
      <c r="B29" s="7" t="s">
        <v>280</v>
      </c>
      <c r="C29" s="7" t="s">
        <v>234</v>
      </c>
      <c r="D29" s="7" t="s">
        <v>281</v>
      </c>
      <c r="E29" s="7" t="n">
        <v>5300</v>
      </c>
      <c r="F29" s="10" t="n">
        <v>80000</v>
      </c>
      <c r="G29" s="6" t="str">
        <f aca="false">IF(E29="","",IFERROR(INDEX(COA!$B$4:$B$37,MATCH(E29,COA!$A$4:$A$37,0)),"INVALID CODE"))</f>
        <v>Electricity and water</v>
      </c>
    </row>
    <row r="30" customFormat="false" ht="15" hidden="false" customHeight="false" outlineLevel="0" collapsed="false">
      <c r="A30" s="14" t="n">
        <v>45836</v>
      </c>
      <c r="B30" s="7" t="s">
        <v>282</v>
      </c>
      <c r="C30" s="7" t="s">
        <v>167</v>
      </c>
      <c r="D30" s="7" t="s">
        <v>283</v>
      </c>
      <c r="E30" s="7" t="n">
        <v>5000</v>
      </c>
      <c r="F30" s="10" t="n">
        <v>400000</v>
      </c>
      <c r="G30" s="6" t="str">
        <f aca="false">IF(E30="","",IFERROR(INDEX(COA!$B$4:$B$37,MATCH(E30,COA!$A$4:$A$37,0)),"INVALID CODE"))</f>
        <v>Contractor costs</v>
      </c>
    </row>
    <row r="31" customFormat="false" ht="15" hidden="false" customHeight="false" outlineLevel="0" collapsed="false">
      <c r="A31" s="14" t="n">
        <v>45839</v>
      </c>
      <c r="B31" s="7" t="s">
        <v>284</v>
      </c>
      <c r="C31" s="7" t="s">
        <v>228</v>
      </c>
      <c r="D31" s="7" t="s">
        <v>285</v>
      </c>
      <c r="E31" s="7" t="n">
        <v>5100</v>
      </c>
      <c r="F31" s="10" t="n">
        <v>350000</v>
      </c>
      <c r="G31" s="6" t="str">
        <f aca="false">IF(E31="","",IFERROR(INDEX(COA!$B$4:$B$37,MATCH(E31,COA!$A$4:$A$37,0)),"INVALID CODE"))</f>
        <v>Office rent</v>
      </c>
    </row>
    <row r="32" customFormat="false" ht="15" hidden="false" customHeight="false" outlineLevel="0" collapsed="false">
      <c r="A32" s="14" t="n">
        <v>45856</v>
      </c>
      <c r="B32" s="7" t="s">
        <v>286</v>
      </c>
      <c r="C32" s="7" t="s">
        <v>287</v>
      </c>
      <c r="D32" s="7" t="s">
        <v>288</v>
      </c>
      <c r="E32" s="7" t="n">
        <v>5400</v>
      </c>
      <c r="F32" s="10" t="n">
        <v>95000</v>
      </c>
      <c r="G32" s="6" t="str">
        <f aca="false">IF(E32="","",IFERROR(INDEX(COA!$B$4:$B$37,MATCH(E32,COA!$A$4:$A$37,0)),"INVALID CODE"))</f>
        <v>Transport</v>
      </c>
    </row>
    <row r="33" customFormat="false" ht="15" hidden="false" customHeight="false" outlineLevel="0" collapsed="false">
      <c r="A33" s="14" t="n">
        <v>45858</v>
      </c>
      <c r="B33" s="7" t="s">
        <v>289</v>
      </c>
      <c r="C33" s="7" t="s">
        <v>231</v>
      </c>
      <c r="D33" s="7" t="s">
        <v>290</v>
      </c>
      <c r="E33" s="7" t="n">
        <v>5200</v>
      </c>
      <c r="F33" s="10" t="n">
        <v>60000</v>
      </c>
      <c r="G33" s="6" t="str">
        <f aca="false">IF(E33="","",IFERROR(INDEX(COA!$B$4:$B$37,MATCH(E33,COA!$A$4:$A$37,0)),"INVALID CODE"))</f>
        <v>Internet and communication</v>
      </c>
    </row>
    <row r="34" customFormat="false" ht="15" hidden="false" customHeight="false" outlineLevel="0" collapsed="false">
      <c r="A34" s="14" t="n">
        <v>45860</v>
      </c>
      <c r="B34" s="7" t="s">
        <v>291</v>
      </c>
      <c r="C34" s="7" t="s">
        <v>234</v>
      </c>
      <c r="D34" s="7" t="s">
        <v>292</v>
      </c>
      <c r="E34" s="7" t="n">
        <v>5300</v>
      </c>
      <c r="F34" s="10" t="n">
        <v>80000</v>
      </c>
      <c r="G34" s="6" t="str">
        <f aca="false">IF(E34="","",IFERROR(INDEX(COA!$B$4:$B$37,MATCH(E34,COA!$A$4:$A$37,0)),"INVALID CODE"))</f>
        <v>Electricity and water</v>
      </c>
    </row>
    <row r="35" customFormat="false" ht="15" hidden="false" customHeight="false" outlineLevel="0" collapsed="false">
      <c r="A35" s="14" t="n">
        <v>45866</v>
      </c>
      <c r="B35" s="7" t="s">
        <v>293</v>
      </c>
      <c r="C35" s="7" t="s">
        <v>167</v>
      </c>
      <c r="D35" s="7" t="s">
        <v>294</v>
      </c>
      <c r="E35" s="7" t="n">
        <v>5000</v>
      </c>
      <c r="F35" s="10" t="n">
        <v>500000</v>
      </c>
      <c r="G35" s="6" t="str">
        <f aca="false">IF(E35="","",IFERROR(INDEX(COA!$B$4:$B$37,MATCH(E35,COA!$A$4:$A$37,0)),"INVALID CODE"))</f>
        <v>Contractor costs</v>
      </c>
    </row>
    <row r="36" customFormat="false" ht="15" hidden="false" customHeight="false" outlineLevel="0" collapsed="false">
      <c r="A36" s="14" t="n">
        <v>45870</v>
      </c>
      <c r="B36" s="7" t="s">
        <v>295</v>
      </c>
      <c r="C36" s="7" t="s">
        <v>228</v>
      </c>
      <c r="D36" s="7" t="s">
        <v>296</v>
      </c>
      <c r="E36" s="7" t="n">
        <v>5100</v>
      </c>
      <c r="F36" s="10" t="n">
        <v>350000</v>
      </c>
      <c r="G36" s="6" t="str">
        <f aca="false">IF(E36="","",IFERROR(INDEX(COA!$B$4:$B$37,MATCH(E36,COA!$A$4:$A$37,0)),"INVALID CODE"))</f>
        <v>Office rent</v>
      </c>
    </row>
    <row r="37" customFormat="false" ht="15" hidden="false" customHeight="false" outlineLevel="0" collapsed="false">
      <c r="A37" s="14" t="n">
        <v>45889</v>
      </c>
      <c r="B37" s="7" t="s">
        <v>297</v>
      </c>
      <c r="C37" s="7" t="s">
        <v>231</v>
      </c>
      <c r="D37" s="7" t="s">
        <v>298</v>
      </c>
      <c r="E37" s="7" t="n">
        <v>5200</v>
      </c>
      <c r="F37" s="10" t="n">
        <v>60000</v>
      </c>
      <c r="G37" s="6" t="str">
        <f aca="false">IF(E37="","",IFERROR(INDEX(COA!$B$4:$B$37,MATCH(E37,COA!$A$4:$A$37,0)),"INVALID CODE"))</f>
        <v>Internet and communication</v>
      </c>
    </row>
    <row r="38" customFormat="false" ht="15" hidden="false" customHeight="false" outlineLevel="0" collapsed="false">
      <c r="A38" s="14" t="n">
        <v>45891</v>
      </c>
      <c r="B38" s="7" t="s">
        <v>299</v>
      </c>
      <c r="C38" s="7" t="s">
        <v>234</v>
      </c>
      <c r="D38" s="7" t="s">
        <v>300</v>
      </c>
      <c r="E38" s="7" t="n">
        <v>5300</v>
      </c>
      <c r="F38" s="10" t="n">
        <v>80000</v>
      </c>
      <c r="G38" s="6" t="str">
        <f aca="false">IF(E38="","",IFERROR(INDEX(COA!$B$4:$B$37,MATCH(E38,COA!$A$4:$A$37,0)),"INVALID CODE"))</f>
        <v>Electricity and water</v>
      </c>
    </row>
    <row r="39" customFormat="false" ht="15" hidden="false" customHeight="false" outlineLevel="0" collapsed="false">
      <c r="A39" s="14" t="n">
        <v>45897</v>
      </c>
      <c r="B39" s="7" t="s">
        <v>301</v>
      </c>
      <c r="C39" s="7" t="s">
        <v>167</v>
      </c>
      <c r="D39" s="7" t="s">
        <v>302</v>
      </c>
      <c r="E39" s="7" t="n">
        <v>5000</v>
      </c>
      <c r="F39" s="10" t="n">
        <v>500000</v>
      </c>
      <c r="G39" s="6" t="str">
        <f aca="false">IF(E39="","",IFERROR(INDEX(COA!$B$4:$B$37,MATCH(E39,COA!$A$4:$A$37,0)),"INVALID CODE"))</f>
        <v>Contractor costs</v>
      </c>
    </row>
    <row r="40" customFormat="false" ht="15" hidden="false" customHeight="false" outlineLevel="0" collapsed="false">
      <c r="A40" s="14" t="n">
        <v>45901</v>
      </c>
      <c r="B40" s="7" t="s">
        <v>303</v>
      </c>
      <c r="C40" s="7" t="s">
        <v>228</v>
      </c>
      <c r="D40" s="7" t="s">
        <v>304</v>
      </c>
      <c r="E40" s="7" t="n">
        <v>5100</v>
      </c>
      <c r="F40" s="10" t="n">
        <v>350000</v>
      </c>
      <c r="G40" s="6" t="str">
        <f aca="false">IF(E40="","",IFERROR(INDEX(COA!$B$4:$B$37,MATCH(E40,COA!$A$4:$A$37,0)),"INVALID CODE"))</f>
        <v>Office rent</v>
      </c>
    </row>
    <row r="41" customFormat="false" ht="15" hidden="false" customHeight="false" outlineLevel="0" collapsed="false">
      <c r="A41" s="14" t="n">
        <v>45920</v>
      </c>
      <c r="B41" s="7" t="s">
        <v>305</v>
      </c>
      <c r="C41" s="7" t="s">
        <v>231</v>
      </c>
      <c r="D41" s="7" t="s">
        <v>306</v>
      </c>
      <c r="E41" s="7" t="n">
        <v>5200</v>
      </c>
      <c r="F41" s="10" t="n">
        <v>60000</v>
      </c>
      <c r="G41" s="6" t="str">
        <f aca="false">IF(E41="","",IFERROR(INDEX(COA!$B$4:$B$37,MATCH(E41,COA!$A$4:$A$37,0)),"INVALID CODE"))</f>
        <v>Internet and communication</v>
      </c>
    </row>
    <row r="42" customFormat="false" ht="15" hidden="false" customHeight="false" outlineLevel="0" collapsed="false">
      <c r="A42" s="14" t="n">
        <v>45922</v>
      </c>
      <c r="B42" s="7" t="s">
        <v>307</v>
      </c>
      <c r="C42" s="7" t="s">
        <v>234</v>
      </c>
      <c r="D42" s="7" t="s">
        <v>308</v>
      </c>
      <c r="E42" s="7" t="n">
        <v>5300</v>
      </c>
      <c r="F42" s="10" t="n">
        <v>80000</v>
      </c>
      <c r="G42" s="6" t="str">
        <f aca="false">IF(E42="","",IFERROR(INDEX(COA!$B$4:$B$37,MATCH(E42,COA!$A$4:$A$37,0)),"INVALID CODE"))</f>
        <v>Electricity and water</v>
      </c>
    </row>
    <row r="43" customFormat="false" ht="15" hidden="false" customHeight="false" outlineLevel="0" collapsed="false">
      <c r="A43" s="14" t="n">
        <v>45928</v>
      </c>
      <c r="B43" s="7" t="s">
        <v>309</v>
      </c>
      <c r="C43" s="7" t="s">
        <v>167</v>
      </c>
      <c r="D43" s="7" t="s">
        <v>310</v>
      </c>
      <c r="E43" s="7" t="n">
        <v>5000</v>
      </c>
      <c r="F43" s="10" t="n">
        <v>500000</v>
      </c>
      <c r="G43" s="6" t="str">
        <f aca="false">IF(E43="","",IFERROR(INDEX(COA!$B$4:$B$37,MATCH(E43,COA!$A$4:$A$37,0)),"INVALID CODE"))</f>
        <v>Contractor costs</v>
      </c>
    </row>
    <row r="44" customFormat="false" ht="15" hidden="false" customHeight="false" outlineLevel="0" collapsed="false">
      <c r="A44" s="14" t="n">
        <v>45931</v>
      </c>
      <c r="B44" s="7" t="s">
        <v>311</v>
      </c>
      <c r="C44" s="7" t="s">
        <v>228</v>
      </c>
      <c r="D44" s="7" t="s">
        <v>312</v>
      </c>
      <c r="E44" s="7" t="n">
        <v>5100</v>
      </c>
      <c r="F44" s="10" t="n">
        <v>350000</v>
      </c>
      <c r="G44" s="6" t="str">
        <f aca="false">IF(E44="","",IFERROR(INDEX(COA!$B$4:$B$37,MATCH(E44,COA!$A$4:$A$37,0)),"INVALID CODE"))</f>
        <v>Office rent</v>
      </c>
    </row>
    <row r="45" customFormat="false" ht="15" hidden="false" customHeight="false" outlineLevel="0" collapsed="false">
      <c r="A45" s="14" t="n">
        <v>45950</v>
      </c>
      <c r="B45" s="7" t="s">
        <v>313</v>
      </c>
      <c r="C45" s="7" t="s">
        <v>231</v>
      </c>
      <c r="D45" s="7" t="s">
        <v>314</v>
      </c>
      <c r="E45" s="7" t="n">
        <v>5200</v>
      </c>
      <c r="F45" s="10" t="n">
        <v>60000</v>
      </c>
      <c r="G45" s="6" t="str">
        <f aca="false">IF(E45="","",IFERROR(INDEX(COA!$B$4:$B$37,MATCH(E45,COA!$A$4:$A$37,0)),"INVALID CODE"))</f>
        <v>Internet and communication</v>
      </c>
    </row>
    <row r="46" customFormat="false" ht="15" hidden="false" customHeight="false" outlineLevel="0" collapsed="false">
      <c r="A46" s="14" t="n">
        <v>45952</v>
      </c>
      <c r="B46" s="7" t="s">
        <v>315</v>
      </c>
      <c r="C46" s="7" t="s">
        <v>234</v>
      </c>
      <c r="D46" s="7" t="s">
        <v>316</v>
      </c>
      <c r="E46" s="7" t="n">
        <v>5300</v>
      </c>
      <c r="F46" s="10" t="n">
        <v>80000</v>
      </c>
      <c r="G46" s="6" t="str">
        <f aca="false">IF(E46="","",IFERROR(INDEX(COA!$B$4:$B$37,MATCH(E46,COA!$A$4:$A$37,0)),"INVALID CODE"))</f>
        <v>Electricity and water</v>
      </c>
    </row>
    <row r="47" customFormat="false" ht="15" hidden="false" customHeight="false" outlineLevel="0" collapsed="false">
      <c r="A47" s="14" t="n">
        <v>45958</v>
      </c>
      <c r="B47" s="7" t="s">
        <v>317</v>
      </c>
      <c r="C47" s="7" t="s">
        <v>167</v>
      </c>
      <c r="D47" s="7" t="s">
        <v>318</v>
      </c>
      <c r="E47" s="7" t="n">
        <v>5000</v>
      </c>
      <c r="F47" s="10" t="n">
        <v>500000</v>
      </c>
      <c r="G47" s="6" t="str">
        <f aca="false">IF(E47="","",IFERROR(INDEX(COA!$B$4:$B$37,MATCH(E47,COA!$A$4:$A$37,0)),"INVALID CODE"))</f>
        <v>Contractor costs</v>
      </c>
    </row>
    <row r="48" customFormat="false" ht="15" hidden="false" customHeight="false" outlineLevel="0" collapsed="false">
      <c r="A48" s="14" t="n">
        <v>45962</v>
      </c>
      <c r="B48" s="7" t="s">
        <v>319</v>
      </c>
      <c r="C48" s="7" t="s">
        <v>228</v>
      </c>
      <c r="D48" s="7" t="s">
        <v>320</v>
      </c>
      <c r="E48" s="7" t="n">
        <v>5100</v>
      </c>
      <c r="F48" s="10" t="n">
        <v>350000</v>
      </c>
      <c r="G48" s="6" t="str">
        <f aca="false">IF(E48="","",IFERROR(INDEX(COA!$B$4:$B$37,MATCH(E48,COA!$A$4:$A$37,0)),"INVALID CODE"))</f>
        <v>Office rent</v>
      </c>
    </row>
    <row r="49" customFormat="false" ht="15" hidden="false" customHeight="false" outlineLevel="0" collapsed="false">
      <c r="A49" s="14" t="n">
        <v>45981</v>
      </c>
      <c r="B49" s="7" t="s">
        <v>321</v>
      </c>
      <c r="C49" s="7" t="s">
        <v>231</v>
      </c>
      <c r="D49" s="7" t="s">
        <v>322</v>
      </c>
      <c r="E49" s="7" t="n">
        <v>5200</v>
      </c>
      <c r="F49" s="10" t="n">
        <v>60000</v>
      </c>
      <c r="G49" s="6" t="str">
        <f aca="false">IF(E49="","",IFERROR(INDEX(COA!$B$4:$B$37,MATCH(E49,COA!$A$4:$A$37,0)),"INVALID CODE"))</f>
        <v>Internet and communication</v>
      </c>
    </row>
    <row r="50" customFormat="false" ht="15" hidden="false" customHeight="false" outlineLevel="0" collapsed="false">
      <c r="A50" s="14" t="n">
        <v>45983</v>
      </c>
      <c r="B50" s="7" t="s">
        <v>323</v>
      </c>
      <c r="C50" s="7" t="s">
        <v>234</v>
      </c>
      <c r="D50" s="7" t="s">
        <v>324</v>
      </c>
      <c r="E50" s="7" t="n">
        <v>5300</v>
      </c>
      <c r="F50" s="10" t="n">
        <v>80000</v>
      </c>
      <c r="G50" s="6" t="str">
        <f aca="false">IF(E50="","",IFERROR(INDEX(COA!$B$4:$B$37,MATCH(E50,COA!$A$4:$A$37,0)),"INVALID CODE"))</f>
        <v>Electricity and water</v>
      </c>
    </row>
    <row r="51" customFormat="false" ht="15" hidden="false" customHeight="false" outlineLevel="0" collapsed="false">
      <c r="A51" s="14" t="n">
        <v>45989</v>
      </c>
      <c r="B51" s="7" t="s">
        <v>325</v>
      </c>
      <c r="C51" s="7" t="s">
        <v>167</v>
      </c>
      <c r="D51" s="7" t="s">
        <v>326</v>
      </c>
      <c r="E51" s="7" t="n">
        <v>5000</v>
      </c>
      <c r="F51" s="10" t="n">
        <v>500000</v>
      </c>
      <c r="G51" s="6" t="str">
        <f aca="false">IF(E51="","",IFERROR(INDEX(COA!$B$4:$B$37,MATCH(E51,COA!$A$4:$A$37,0)),"INVALID CODE"))</f>
        <v>Contractor costs</v>
      </c>
    </row>
    <row r="52" customFormat="false" ht="15" hidden="false" customHeight="false" outlineLevel="0" collapsed="false">
      <c r="A52" s="14" t="n">
        <v>45992</v>
      </c>
      <c r="B52" s="7" t="s">
        <v>327</v>
      </c>
      <c r="C52" s="7" t="s">
        <v>228</v>
      </c>
      <c r="D52" s="7" t="s">
        <v>328</v>
      </c>
      <c r="E52" s="7" t="n">
        <v>5100</v>
      </c>
      <c r="F52" s="10" t="n">
        <v>350000</v>
      </c>
      <c r="G52" s="6" t="str">
        <f aca="false">IF(E52="","",IFERROR(INDEX(COA!$B$4:$B$37,MATCH(E52,COA!$A$4:$A$37,0)),"INVALID CODE"))</f>
        <v>Office rent</v>
      </c>
    </row>
    <row r="53" customFormat="false" ht="15" hidden="false" customHeight="false" outlineLevel="0" collapsed="false">
      <c r="A53" s="14" t="n">
        <v>46011</v>
      </c>
      <c r="B53" s="7" t="s">
        <v>329</v>
      </c>
      <c r="C53" s="7" t="s">
        <v>231</v>
      </c>
      <c r="D53" s="7" t="s">
        <v>330</v>
      </c>
      <c r="E53" s="7" t="n">
        <v>5200</v>
      </c>
      <c r="F53" s="10" t="n">
        <v>60000</v>
      </c>
      <c r="G53" s="6" t="str">
        <f aca="false">IF(E53="","",IFERROR(INDEX(COA!$B$4:$B$37,MATCH(E53,COA!$A$4:$A$37,0)),"INVALID CODE"))</f>
        <v>Internet and communication</v>
      </c>
    </row>
    <row r="54" customFormat="false" ht="15" hidden="false" customHeight="false" outlineLevel="0" collapsed="false">
      <c r="A54" s="14" t="n">
        <v>46019</v>
      </c>
      <c r="B54" s="7" t="s">
        <v>331</v>
      </c>
      <c r="C54" s="7" t="s">
        <v>167</v>
      </c>
      <c r="D54" s="7" t="s">
        <v>332</v>
      </c>
      <c r="E54" s="7" t="n">
        <v>5000</v>
      </c>
      <c r="F54" s="10" t="n">
        <v>500000</v>
      </c>
      <c r="G54" s="6" t="str">
        <f aca="false">IF(E54="","",IFERROR(INDEX(COA!$B$4:$B$37,MATCH(E54,COA!$A$4:$A$37,0)),"INVALID CODE"))</f>
        <v>Contractor costs</v>
      </c>
    </row>
    <row r="55" customFormat="false" ht="15" hidden="false" customHeight="false" outlineLevel="0" collapsed="false">
      <c r="G55" s="6" t="str">
        <f aca="false">IF(E55="","",IFERROR(INDEX(COA!$B$4:$B$37,MATCH(E55,COA!$A$4:$A$37,0)),"INVALID CODE"))</f>
        <v/>
      </c>
    </row>
    <row r="56" customFormat="false" ht="15" hidden="false" customHeight="false" outlineLevel="0" collapsed="false">
      <c r="G56" s="6" t="str">
        <f aca="false">IF(E56="","",IFERROR(INDEX(COA!$B$4:$B$37,MATCH(E56,COA!$A$4:$A$37,0)),"INVALID CODE"))</f>
        <v/>
      </c>
    </row>
    <row r="57" customFormat="false" ht="15" hidden="false" customHeight="false" outlineLevel="0" collapsed="false">
      <c r="G57" s="6" t="str">
        <f aca="false">IF(E57="","",IFERROR(INDEX(COA!$B$4:$B$37,MATCH(E57,COA!$A$4:$A$37,0)),"INVALID CODE"))</f>
        <v/>
      </c>
    </row>
    <row r="58" customFormat="false" ht="15" hidden="false" customHeight="false" outlineLevel="0" collapsed="false">
      <c r="G58" s="6" t="str">
        <f aca="false">IF(E58="","",IFERROR(INDEX(COA!$B$4:$B$37,MATCH(E58,COA!$A$4:$A$37,0)),"INVALID CODE"))</f>
        <v/>
      </c>
    </row>
    <row r="59" customFormat="false" ht="15" hidden="false" customHeight="false" outlineLevel="0" collapsed="false">
      <c r="G59" s="6" t="str">
        <f aca="false">IF(E59="","",IFERROR(INDEX(COA!$B$4:$B$37,MATCH(E59,COA!$A$4:$A$37,0)),"INVALID CODE"))</f>
        <v/>
      </c>
    </row>
    <row r="60" customFormat="false" ht="15" hidden="false" customHeight="false" outlineLevel="0" collapsed="false">
      <c r="G60" s="6" t="str">
        <f aca="false">IF(E60="","",IFERROR(INDEX(COA!$B$4:$B$37,MATCH(E60,COA!$A$4:$A$37,0)),"INVALID CODE"))</f>
        <v/>
      </c>
    </row>
    <row r="61" customFormat="false" ht="15" hidden="false" customHeight="false" outlineLevel="0" collapsed="false">
      <c r="G61" s="6" t="str">
        <f aca="false">IF(E61="","",IFERROR(INDEX(COA!$B$4:$B$37,MATCH(E61,COA!$A$4:$A$37,0)),"INVALID CODE"))</f>
        <v/>
      </c>
    </row>
    <row r="62" customFormat="false" ht="15" hidden="false" customHeight="false" outlineLevel="0" collapsed="false">
      <c r="G62" s="6" t="str">
        <f aca="false">IF(E62="","",IFERROR(INDEX(COA!$B$4:$B$37,MATCH(E62,COA!$A$4:$A$37,0)),"INVALID CODE"))</f>
        <v/>
      </c>
    </row>
    <row r="63" customFormat="false" ht="15" hidden="false" customHeight="false" outlineLevel="0" collapsed="false">
      <c r="G63" s="6" t="str">
        <f aca="false">IF(E63="","",IFERROR(INDEX(COA!$B$4:$B$37,MATCH(E63,COA!$A$4:$A$37,0)),"INVALID CODE"))</f>
        <v/>
      </c>
    </row>
    <row r="64" customFormat="false" ht="15" hidden="false" customHeight="false" outlineLevel="0" collapsed="false">
      <c r="G64" s="6" t="str">
        <f aca="false">IF(E64="","",IFERROR(INDEX(COA!$B$4:$B$37,MATCH(E64,COA!$A$4:$A$37,0)),"INVALID CODE"))</f>
        <v/>
      </c>
    </row>
    <row r="65" customFormat="false" ht="15" hidden="false" customHeight="false" outlineLevel="0" collapsed="false">
      <c r="G65" s="6" t="str">
        <f aca="false">IF(E65="","",IFERROR(INDEX(COA!$B$4:$B$37,MATCH(E65,COA!$A$4:$A$37,0)),"INVALID CODE"))</f>
        <v/>
      </c>
    </row>
    <row r="66" customFormat="false" ht="15" hidden="false" customHeight="false" outlineLevel="0" collapsed="false">
      <c r="G66" s="6" t="str">
        <f aca="false">IF(E66="","",IFERROR(INDEX(COA!$B$4:$B$37,MATCH(E66,COA!$A$4:$A$37,0)),"INVALID CODE"))</f>
        <v/>
      </c>
    </row>
    <row r="67" customFormat="false" ht="15" hidden="false" customHeight="false" outlineLevel="0" collapsed="false">
      <c r="G67" s="6" t="str">
        <f aca="false">IF(E67="","",IFERROR(INDEX(COA!$B$4:$B$37,MATCH(E67,COA!$A$4:$A$37,0)),"INVALID CODE"))</f>
        <v/>
      </c>
    </row>
    <row r="68" customFormat="false" ht="15" hidden="false" customHeight="false" outlineLevel="0" collapsed="false">
      <c r="G68" s="6" t="str">
        <f aca="false">IF(E68="","",IFERROR(INDEX(COA!$B$4:$B$37,MATCH(E68,COA!$A$4:$A$37,0)),"INVALID CODE"))</f>
        <v/>
      </c>
    </row>
    <row r="69" customFormat="false" ht="15" hidden="false" customHeight="false" outlineLevel="0" collapsed="false">
      <c r="G69" s="6" t="str">
        <f aca="false">IF(E69="","",IFERROR(INDEX(COA!$B$4:$B$37,MATCH(E69,COA!$A$4:$A$37,0)),"INVALID CODE"))</f>
        <v/>
      </c>
    </row>
    <row r="70" customFormat="false" ht="15" hidden="false" customHeight="false" outlineLevel="0" collapsed="false">
      <c r="G70" s="6" t="str">
        <f aca="false">IF(E70="","",IFERROR(INDEX(COA!$B$4:$B$37,MATCH(E70,COA!$A$4:$A$37,0)),"INVALID CODE"))</f>
        <v/>
      </c>
    </row>
    <row r="71" customFormat="false" ht="15" hidden="false" customHeight="false" outlineLevel="0" collapsed="false">
      <c r="G71" s="6" t="str">
        <f aca="false">IF(E71="","",IFERROR(INDEX(COA!$B$4:$B$37,MATCH(E71,COA!$A$4:$A$37,0)),"INVALID CODE"))</f>
        <v/>
      </c>
    </row>
    <row r="72" customFormat="false" ht="15" hidden="false" customHeight="false" outlineLevel="0" collapsed="false">
      <c r="G72" s="6" t="str">
        <f aca="false">IF(E72="","",IFERROR(INDEX(COA!$B$4:$B$37,MATCH(E72,COA!$A$4:$A$37,0)),"INVALID CODE"))</f>
        <v/>
      </c>
    </row>
    <row r="73" customFormat="false" ht="15" hidden="false" customHeight="false" outlineLevel="0" collapsed="false">
      <c r="G73" s="6" t="str">
        <f aca="false">IF(E73="","",IFERROR(INDEX(COA!$B$4:$B$37,MATCH(E73,COA!$A$4:$A$37,0)),"INVALID CODE"))</f>
        <v/>
      </c>
    </row>
    <row r="74" customFormat="false" ht="15" hidden="false" customHeight="false" outlineLevel="0" collapsed="false">
      <c r="G74" s="6" t="str">
        <f aca="false">IF(E74="","",IFERROR(INDEX(COA!$B$4:$B$37,MATCH(E74,COA!$A$4:$A$37,0)),"INVALID CODE"))</f>
        <v/>
      </c>
    </row>
    <row r="75" customFormat="false" ht="15" hidden="false" customHeight="false" outlineLevel="0" collapsed="false">
      <c r="G75" s="6" t="str">
        <f aca="false">IF(E75="","",IFERROR(INDEX(COA!$B$4:$B$37,MATCH(E75,COA!$A$4:$A$37,0)),"INVALID CODE"))</f>
        <v/>
      </c>
    </row>
    <row r="76" customFormat="false" ht="15" hidden="false" customHeight="false" outlineLevel="0" collapsed="false">
      <c r="G76" s="6" t="str">
        <f aca="false">IF(E76="","",IFERROR(INDEX(COA!$B$4:$B$37,MATCH(E76,COA!$A$4:$A$37,0)),"INVALID CODE"))</f>
        <v/>
      </c>
    </row>
    <row r="77" customFormat="false" ht="15" hidden="false" customHeight="false" outlineLevel="0" collapsed="false">
      <c r="G77" s="6" t="str">
        <f aca="false">IF(E77="","",IFERROR(INDEX(COA!$B$4:$B$37,MATCH(E77,COA!$A$4:$A$37,0)),"INVALID CODE"))</f>
        <v/>
      </c>
    </row>
    <row r="78" customFormat="false" ht="15" hidden="false" customHeight="false" outlineLevel="0" collapsed="false">
      <c r="G78" s="6" t="str">
        <f aca="false">IF(E78="","",IFERROR(INDEX(COA!$B$4:$B$37,MATCH(E78,COA!$A$4:$A$37,0)),"INVALID CODE"))</f>
        <v/>
      </c>
    </row>
    <row r="79" customFormat="false" ht="15" hidden="false" customHeight="false" outlineLevel="0" collapsed="false">
      <c r="G79" s="6" t="str">
        <f aca="false">IF(E79="","",IFERROR(INDEX(COA!$B$4:$B$37,MATCH(E79,COA!$A$4:$A$37,0)),"INVALID CODE"))</f>
        <v/>
      </c>
    </row>
    <row r="80" customFormat="false" ht="15" hidden="false" customHeight="false" outlineLevel="0" collapsed="false">
      <c r="G80" s="6" t="str">
        <f aca="false">IF(E80="","",IFERROR(INDEX(COA!$B$4:$B$37,MATCH(E80,COA!$A$4:$A$37,0)),"INVALID CODE"))</f>
        <v/>
      </c>
    </row>
    <row r="81" customFormat="false" ht="15" hidden="false" customHeight="false" outlineLevel="0" collapsed="false">
      <c r="G81" s="6" t="str">
        <f aca="false">IF(E81="","",IFERROR(INDEX(COA!$B$4:$B$37,MATCH(E81,COA!$A$4:$A$37,0)),"INVALID CODE"))</f>
        <v/>
      </c>
    </row>
    <row r="82" customFormat="false" ht="15" hidden="false" customHeight="false" outlineLevel="0" collapsed="false">
      <c r="G82" s="6" t="str">
        <f aca="false">IF(E82="","",IFERROR(INDEX(COA!$B$4:$B$37,MATCH(E82,COA!$A$4:$A$37,0)),"INVALID CODE"))</f>
        <v/>
      </c>
    </row>
    <row r="83" customFormat="false" ht="15" hidden="false" customHeight="false" outlineLevel="0" collapsed="false">
      <c r="G83" s="6" t="str">
        <f aca="false">IF(E83="","",IFERROR(INDEX(COA!$B$4:$B$37,MATCH(E83,COA!$A$4:$A$37,0)),"INVALID CODE"))</f>
        <v/>
      </c>
    </row>
    <row r="84" customFormat="false" ht="15" hidden="false" customHeight="false" outlineLevel="0" collapsed="false">
      <c r="G84" s="6" t="str">
        <f aca="false">IF(E84="","",IFERROR(INDEX(COA!$B$4:$B$37,MATCH(E84,COA!$A$4:$A$37,0)),"INVALID CODE"))</f>
        <v/>
      </c>
    </row>
    <row r="85" customFormat="false" ht="15" hidden="false" customHeight="false" outlineLevel="0" collapsed="false">
      <c r="G85" s="6" t="str">
        <f aca="false">IF(E85="","",IFERROR(INDEX(COA!$B$4:$B$37,MATCH(E85,COA!$A$4:$A$37,0)),"INVALID CODE"))</f>
        <v/>
      </c>
    </row>
    <row r="86" customFormat="false" ht="15" hidden="false" customHeight="false" outlineLevel="0" collapsed="false">
      <c r="G86" s="6" t="str">
        <f aca="false">IF(E86="","",IFERROR(INDEX(COA!$B$4:$B$37,MATCH(E86,COA!$A$4:$A$37,0)),"INVALID CODE"))</f>
        <v/>
      </c>
    </row>
    <row r="87" customFormat="false" ht="15" hidden="false" customHeight="false" outlineLevel="0" collapsed="false">
      <c r="G87" s="6" t="str">
        <f aca="false">IF(E87="","",IFERROR(INDEX(COA!$B$4:$B$37,MATCH(E87,COA!$A$4:$A$37,0)),"INVALID CODE"))</f>
        <v/>
      </c>
    </row>
    <row r="88" customFormat="false" ht="15" hidden="false" customHeight="false" outlineLevel="0" collapsed="false">
      <c r="G88" s="6" t="str">
        <f aca="false">IF(E88="","",IFERROR(INDEX(COA!$B$4:$B$37,MATCH(E88,COA!$A$4:$A$37,0)),"INVALID CODE"))</f>
        <v/>
      </c>
    </row>
    <row r="89" customFormat="false" ht="15" hidden="false" customHeight="false" outlineLevel="0" collapsed="false">
      <c r="G89" s="6" t="str">
        <f aca="false">IF(E89="","",IFERROR(INDEX(COA!$B$4:$B$37,MATCH(E89,COA!$A$4:$A$37,0)),"INVALID CODE"))</f>
        <v/>
      </c>
    </row>
    <row r="90" customFormat="false" ht="15" hidden="false" customHeight="false" outlineLevel="0" collapsed="false">
      <c r="G90" s="6" t="str">
        <f aca="false">IF(E90="","",IFERROR(INDEX(COA!$B$4:$B$37,MATCH(E90,COA!$A$4:$A$37,0)),"INVALID CODE"))</f>
        <v/>
      </c>
    </row>
    <row r="91" customFormat="false" ht="15" hidden="false" customHeight="false" outlineLevel="0" collapsed="false">
      <c r="G91" s="6" t="str">
        <f aca="false">IF(E91="","",IFERROR(INDEX(COA!$B$4:$B$37,MATCH(E91,COA!$A$4:$A$37,0)),"INVALID CODE"))</f>
        <v/>
      </c>
    </row>
    <row r="92" customFormat="false" ht="15" hidden="false" customHeight="false" outlineLevel="0" collapsed="false">
      <c r="G92" s="6" t="str">
        <f aca="false">IF(E92="","",IFERROR(INDEX(COA!$B$4:$B$37,MATCH(E92,COA!$A$4:$A$37,0)),"INVALID CODE"))</f>
        <v/>
      </c>
    </row>
    <row r="93" customFormat="false" ht="15" hidden="false" customHeight="false" outlineLevel="0" collapsed="false">
      <c r="G93" s="6" t="str">
        <f aca="false">IF(E93="","",IFERROR(INDEX(COA!$B$4:$B$37,MATCH(E93,COA!$A$4:$A$37,0)),"INVALID CODE"))</f>
        <v/>
      </c>
    </row>
    <row r="94" customFormat="false" ht="15" hidden="false" customHeight="false" outlineLevel="0" collapsed="false">
      <c r="G94" s="6" t="str">
        <f aca="false">IF(E94="","",IFERROR(INDEX(COA!$B$4:$B$37,MATCH(E94,COA!$A$4:$A$37,0)),"INVALID CODE"))</f>
        <v/>
      </c>
    </row>
  </sheetData>
  <dataValidations count="1">
    <dataValidation allowBlank="true" error="Use a code from the COA sheet." errorStyle="stop" errorTitle="Invalid code" operator="between" showDropDown="false" showErrorMessage="true" showInputMessage="false" sqref="E5:E94" type="list">
      <formula1>COA!$A$4:$A$37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11" t="s">
        <v>334</v>
      </c>
    </row>
    <row r="4" customFormat="false" ht="35.05" hidden="false" customHeight="false" outlineLevel="0" collapsed="false">
      <c r="A4" s="2" t="s">
        <v>335</v>
      </c>
      <c r="B4" s="2" t="s">
        <v>336</v>
      </c>
      <c r="C4" s="2" t="s">
        <v>337</v>
      </c>
      <c r="D4" s="2" t="s">
        <v>338</v>
      </c>
      <c r="E4" s="2" t="s">
        <v>339</v>
      </c>
      <c r="F4" s="2" t="s">
        <v>340</v>
      </c>
      <c r="G4" s="2" t="s">
        <v>341</v>
      </c>
      <c r="H4" s="2" t="s">
        <v>342</v>
      </c>
      <c r="I4" s="2" t="s">
        <v>343</v>
      </c>
      <c r="J4" s="2" t="s">
        <v>344</v>
      </c>
      <c r="K4" s="2" t="s">
        <v>345</v>
      </c>
      <c r="L4" s="2" t="s">
        <v>346</v>
      </c>
    </row>
    <row r="5" customFormat="false" ht="15" hidden="false" customHeight="false" outlineLevel="0" collapsed="false">
      <c r="A5" s="15" t="n">
        <v>45658</v>
      </c>
      <c r="B5" s="10" t="n">
        <v>400000</v>
      </c>
      <c r="C5" s="16" t="n">
        <f aca="false">ROUND(MAX(0,MIN(B5,Settings!$B$10)-Settings!$B$9)*Settings!$B$12+MAX(0,MIN(B5,Settings!$B$11)-Settings!$B$10)*Settings!$B$13+MAX(0,B5-Settings!$B$11)*Settings!$B$14,0)</f>
        <v>84000</v>
      </c>
      <c r="D5" s="16" t="n">
        <f aca="false">ROUND(B5*Settings!$B$15,0)</f>
        <v>24000</v>
      </c>
      <c r="E5" s="16" t="n">
        <f aca="false">ROUND(B5*Settings!$B$18,0)</f>
        <v>1200</v>
      </c>
      <c r="F5" s="16" t="n">
        <f aca="false">ROUND((B5-C5-D5-E5)*Settings!$B$20,0)</f>
        <v>1454</v>
      </c>
      <c r="G5" s="16" t="n">
        <f aca="false">B5-C5-D5-E5-F5</f>
        <v>289346</v>
      </c>
      <c r="H5" s="16" t="n">
        <f aca="false">ROUND(B5*Settings!$B$16,0)</f>
        <v>24000</v>
      </c>
      <c r="I5" s="16" t="n">
        <f aca="false">ROUND(B5*Settings!$B$17,0)</f>
        <v>8000</v>
      </c>
      <c r="J5" s="16" t="n">
        <f aca="false">ROUND(B5*Settings!$B$19,0)</f>
        <v>1200</v>
      </c>
      <c r="K5" s="16" t="n">
        <f aca="false">H5+I5+J5</f>
        <v>33200</v>
      </c>
      <c r="L5" s="16" t="n">
        <f aca="false">C5+D5+E5+F5+K5</f>
        <v>143854</v>
      </c>
    </row>
    <row r="6" customFormat="false" ht="15" hidden="false" customHeight="false" outlineLevel="0" collapsed="false">
      <c r="A6" s="15" t="n">
        <v>45689</v>
      </c>
      <c r="B6" s="10" t="n">
        <v>400000</v>
      </c>
      <c r="C6" s="16" t="n">
        <f aca="false">ROUND(MAX(0,MIN(B6,Settings!$B$10)-Settings!$B$9)*Settings!$B$12+MAX(0,MIN(B6,Settings!$B$11)-Settings!$B$10)*Settings!$B$13+MAX(0,B6-Settings!$B$11)*Settings!$B$14,0)</f>
        <v>84000</v>
      </c>
      <c r="D6" s="16" t="n">
        <f aca="false">ROUND(B6*Settings!$B$15,0)</f>
        <v>24000</v>
      </c>
      <c r="E6" s="16" t="n">
        <f aca="false">ROUND(B6*Settings!$B$18,0)</f>
        <v>1200</v>
      </c>
      <c r="F6" s="16" t="n">
        <f aca="false">ROUND((B6-C6-D6-E6)*Settings!$B$20,0)</f>
        <v>1454</v>
      </c>
      <c r="G6" s="16" t="n">
        <f aca="false">B6-C6-D6-E6-F6</f>
        <v>289346</v>
      </c>
      <c r="H6" s="16" t="n">
        <f aca="false">ROUND(B6*Settings!$B$16,0)</f>
        <v>24000</v>
      </c>
      <c r="I6" s="16" t="n">
        <f aca="false">ROUND(B6*Settings!$B$17,0)</f>
        <v>8000</v>
      </c>
      <c r="J6" s="16" t="n">
        <f aca="false">ROUND(B6*Settings!$B$19,0)</f>
        <v>1200</v>
      </c>
      <c r="K6" s="16" t="n">
        <f aca="false">H6+I6+J6</f>
        <v>33200</v>
      </c>
      <c r="L6" s="16" t="n">
        <f aca="false">C6+D6+E6+F6+K6</f>
        <v>143854</v>
      </c>
    </row>
    <row r="7" customFormat="false" ht="15" hidden="false" customHeight="false" outlineLevel="0" collapsed="false">
      <c r="A7" s="15" t="n">
        <v>45717</v>
      </c>
      <c r="B7" s="10" t="n">
        <v>400000</v>
      </c>
      <c r="C7" s="16" t="n">
        <f aca="false">ROUND(MAX(0,MIN(B7,Settings!$B$10)-Settings!$B$9)*Settings!$B$12+MAX(0,MIN(B7,Settings!$B$11)-Settings!$B$10)*Settings!$B$13+MAX(0,B7-Settings!$B$11)*Settings!$B$14,0)</f>
        <v>84000</v>
      </c>
      <c r="D7" s="16" t="n">
        <f aca="false">ROUND(B7*Settings!$B$15,0)</f>
        <v>24000</v>
      </c>
      <c r="E7" s="16" t="n">
        <f aca="false">ROUND(B7*Settings!$B$18,0)</f>
        <v>1200</v>
      </c>
      <c r="F7" s="16" t="n">
        <f aca="false">ROUND((B7-C7-D7-E7)*Settings!$B$20,0)</f>
        <v>1454</v>
      </c>
      <c r="G7" s="16" t="n">
        <f aca="false">B7-C7-D7-E7-F7</f>
        <v>289346</v>
      </c>
      <c r="H7" s="16" t="n">
        <f aca="false">ROUND(B7*Settings!$B$16,0)</f>
        <v>24000</v>
      </c>
      <c r="I7" s="16" t="n">
        <f aca="false">ROUND(B7*Settings!$B$17,0)</f>
        <v>8000</v>
      </c>
      <c r="J7" s="16" t="n">
        <f aca="false">ROUND(B7*Settings!$B$19,0)</f>
        <v>1200</v>
      </c>
      <c r="K7" s="16" t="n">
        <f aca="false">H7+I7+J7</f>
        <v>33200</v>
      </c>
      <c r="L7" s="16" t="n">
        <f aca="false">C7+D7+E7+F7+K7</f>
        <v>143854</v>
      </c>
    </row>
    <row r="8" customFormat="false" ht="15" hidden="false" customHeight="false" outlineLevel="0" collapsed="false">
      <c r="A8" s="15" t="n">
        <v>45748</v>
      </c>
      <c r="B8" s="10" t="n">
        <v>400000</v>
      </c>
      <c r="C8" s="16" t="n">
        <f aca="false">ROUND(MAX(0,MIN(B8,Settings!$B$10)-Settings!$B$9)*Settings!$B$12+MAX(0,MIN(B8,Settings!$B$11)-Settings!$B$10)*Settings!$B$13+MAX(0,B8-Settings!$B$11)*Settings!$B$14,0)</f>
        <v>84000</v>
      </c>
      <c r="D8" s="16" t="n">
        <f aca="false">ROUND(B8*Settings!$B$15,0)</f>
        <v>24000</v>
      </c>
      <c r="E8" s="16" t="n">
        <f aca="false">ROUND(B8*Settings!$B$18,0)</f>
        <v>1200</v>
      </c>
      <c r="F8" s="16" t="n">
        <f aca="false">ROUND((B8-C8-D8-E8)*Settings!$B$20,0)</f>
        <v>1454</v>
      </c>
      <c r="G8" s="16" t="n">
        <f aca="false">B8-C8-D8-E8-F8</f>
        <v>289346</v>
      </c>
      <c r="H8" s="16" t="n">
        <f aca="false">ROUND(B8*Settings!$B$16,0)</f>
        <v>24000</v>
      </c>
      <c r="I8" s="16" t="n">
        <f aca="false">ROUND(B8*Settings!$B$17,0)</f>
        <v>8000</v>
      </c>
      <c r="J8" s="16" t="n">
        <f aca="false">ROUND(B8*Settings!$B$19,0)</f>
        <v>1200</v>
      </c>
      <c r="K8" s="16" t="n">
        <f aca="false">H8+I8+J8</f>
        <v>33200</v>
      </c>
      <c r="L8" s="16" t="n">
        <f aca="false">C8+D8+E8+F8+K8</f>
        <v>143854</v>
      </c>
    </row>
    <row r="9" customFormat="false" ht="15" hidden="false" customHeight="false" outlineLevel="0" collapsed="false">
      <c r="A9" s="15" t="n">
        <v>45778</v>
      </c>
      <c r="B9" s="10" t="n">
        <v>400000</v>
      </c>
      <c r="C9" s="16" t="n">
        <f aca="false">ROUND(MAX(0,MIN(B9,Settings!$B$10)-Settings!$B$9)*Settings!$B$12+MAX(0,MIN(B9,Settings!$B$11)-Settings!$B$10)*Settings!$B$13+MAX(0,B9-Settings!$B$11)*Settings!$B$14,0)</f>
        <v>84000</v>
      </c>
      <c r="D9" s="16" t="n">
        <f aca="false">ROUND(B9*Settings!$B$15,0)</f>
        <v>24000</v>
      </c>
      <c r="E9" s="16" t="n">
        <f aca="false">ROUND(B9*Settings!$B$18,0)</f>
        <v>1200</v>
      </c>
      <c r="F9" s="16" t="n">
        <f aca="false">ROUND((B9-C9-D9-E9)*Settings!$B$20,0)</f>
        <v>1454</v>
      </c>
      <c r="G9" s="16" t="n">
        <f aca="false">B9-C9-D9-E9-F9</f>
        <v>289346</v>
      </c>
      <c r="H9" s="16" t="n">
        <f aca="false">ROUND(B9*Settings!$B$16,0)</f>
        <v>24000</v>
      </c>
      <c r="I9" s="16" t="n">
        <f aca="false">ROUND(B9*Settings!$B$17,0)</f>
        <v>8000</v>
      </c>
      <c r="J9" s="16" t="n">
        <f aca="false">ROUND(B9*Settings!$B$19,0)</f>
        <v>1200</v>
      </c>
      <c r="K9" s="16" t="n">
        <f aca="false">H9+I9+J9</f>
        <v>33200</v>
      </c>
      <c r="L9" s="16" t="n">
        <f aca="false">C9+D9+E9+F9+K9</f>
        <v>143854</v>
      </c>
    </row>
    <row r="10" customFormat="false" ht="15" hidden="false" customHeight="false" outlineLevel="0" collapsed="false">
      <c r="A10" s="15" t="n">
        <v>45809</v>
      </c>
      <c r="B10" s="10" t="n">
        <v>400000</v>
      </c>
      <c r="C10" s="16" t="n">
        <f aca="false">ROUND(MAX(0,MIN(B10,Settings!$B$10)-Settings!$B$9)*Settings!$B$12+MAX(0,MIN(B10,Settings!$B$11)-Settings!$B$10)*Settings!$B$13+MAX(0,B10-Settings!$B$11)*Settings!$B$14,0)</f>
        <v>84000</v>
      </c>
      <c r="D10" s="16" t="n">
        <f aca="false">ROUND(B10*Settings!$B$15,0)</f>
        <v>24000</v>
      </c>
      <c r="E10" s="16" t="n">
        <f aca="false">ROUND(B10*Settings!$B$18,0)</f>
        <v>1200</v>
      </c>
      <c r="F10" s="16" t="n">
        <f aca="false">ROUND((B10-C10-D10-E10)*Settings!$B$20,0)</f>
        <v>1454</v>
      </c>
      <c r="G10" s="16" t="n">
        <f aca="false">B10-C10-D10-E10-F10</f>
        <v>289346</v>
      </c>
      <c r="H10" s="16" t="n">
        <f aca="false">ROUND(B10*Settings!$B$16,0)</f>
        <v>24000</v>
      </c>
      <c r="I10" s="16" t="n">
        <f aca="false">ROUND(B10*Settings!$B$17,0)</f>
        <v>8000</v>
      </c>
      <c r="J10" s="16" t="n">
        <f aca="false">ROUND(B10*Settings!$B$19,0)</f>
        <v>1200</v>
      </c>
      <c r="K10" s="16" t="n">
        <f aca="false">H10+I10+J10</f>
        <v>33200</v>
      </c>
      <c r="L10" s="16" t="n">
        <f aca="false">C10+D10+E10+F10+K10</f>
        <v>143854</v>
      </c>
    </row>
    <row r="11" customFormat="false" ht="15" hidden="false" customHeight="false" outlineLevel="0" collapsed="false">
      <c r="A11" s="15" t="n">
        <v>45839</v>
      </c>
      <c r="B11" s="10" t="n">
        <v>400000</v>
      </c>
      <c r="C11" s="16" t="n">
        <f aca="false">ROUND(MAX(0,MIN(B11,Settings!$B$10)-Settings!$B$9)*Settings!$B$12+MAX(0,MIN(B11,Settings!$B$11)-Settings!$B$10)*Settings!$B$13+MAX(0,B11-Settings!$B$11)*Settings!$B$14,0)</f>
        <v>84000</v>
      </c>
      <c r="D11" s="16" t="n">
        <f aca="false">ROUND(B11*Settings!$B$15,0)</f>
        <v>24000</v>
      </c>
      <c r="E11" s="16" t="n">
        <f aca="false">ROUND(B11*Settings!$B$18,0)</f>
        <v>1200</v>
      </c>
      <c r="F11" s="16" t="n">
        <f aca="false">ROUND((B11-C11-D11-E11)*Settings!$B$20,0)</f>
        <v>1454</v>
      </c>
      <c r="G11" s="16" t="n">
        <f aca="false">B11-C11-D11-E11-F11</f>
        <v>289346</v>
      </c>
      <c r="H11" s="16" t="n">
        <f aca="false">ROUND(B11*Settings!$B$16,0)</f>
        <v>24000</v>
      </c>
      <c r="I11" s="16" t="n">
        <f aca="false">ROUND(B11*Settings!$B$17,0)</f>
        <v>8000</v>
      </c>
      <c r="J11" s="16" t="n">
        <f aca="false">ROUND(B11*Settings!$B$19,0)</f>
        <v>1200</v>
      </c>
      <c r="K11" s="16" t="n">
        <f aca="false">H11+I11+J11</f>
        <v>33200</v>
      </c>
      <c r="L11" s="16" t="n">
        <f aca="false">C11+D11+E11+F11+K11</f>
        <v>143854</v>
      </c>
    </row>
    <row r="12" customFormat="false" ht="15" hidden="false" customHeight="false" outlineLevel="0" collapsed="false">
      <c r="A12" s="15" t="n">
        <v>45870</v>
      </c>
      <c r="B12" s="10" t="n">
        <v>400000</v>
      </c>
      <c r="C12" s="16" t="n">
        <f aca="false">ROUND(MAX(0,MIN(B12,Settings!$B$10)-Settings!$B$9)*Settings!$B$12+MAX(0,MIN(B12,Settings!$B$11)-Settings!$B$10)*Settings!$B$13+MAX(0,B12-Settings!$B$11)*Settings!$B$14,0)</f>
        <v>84000</v>
      </c>
      <c r="D12" s="16" t="n">
        <f aca="false">ROUND(B12*Settings!$B$15,0)</f>
        <v>24000</v>
      </c>
      <c r="E12" s="16" t="n">
        <f aca="false">ROUND(B12*Settings!$B$18,0)</f>
        <v>1200</v>
      </c>
      <c r="F12" s="16" t="n">
        <f aca="false">ROUND((B12-C12-D12-E12)*Settings!$B$20,0)</f>
        <v>1454</v>
      </c>
      <c r="G12" s="16" t="n">
        <f aca="false">B12-C12-D12-E12-F12</f>
        <v>289346</v>
      </c>
      <c r="H12" s="16" t="n">
        <f aca="false">ROUND(B12*Settings!$B$16,0)</f>
        <v>24000</v>
      </c>
      <c r="I12" s="16" t="n">
        <f aca="false">ROUND(B12*Settings!$B$17,0)</f>
        <v>8000</v>
      </c>
      <c r="J12" s="16" t="n">
        <f aca="false">ROUND(B12*Settings!$B$19,0)</f>
        <v>1200</v>
      </c>
      <c r="K12" s="16" t="n">
        <f aca="false">H12+I12+J12</f>
        <v>33200</v>
      </c>
      <c r="L12" s="16" t="n">
        <f aca="false">C12+D12+E12+F12+K12</f>
        <v>143854</v>
      </c>
    </row>
    <row r="13" customFormat="false" ht="15" hidden="false" customHeight="false" outlineLevel="0" collapsed="false">
      <c r="A13" s="15" t="n">
        <v>45901</v>
      </c>
      <c r="B13" s="10" t="n">
        <v>400000</v>
      </c>
      <c r="C13" s="16" t="n">
        <f aca="false">ROUND(MAX(0,MIN(B13,Settings!$B$10)-Settings!$B$9)*Settings!$B$12+MAX(0,MIN(B13,Settings!$B$11)-Settings!$B$10)*Settings!$B$13+MAX(0,B13-Settings!$B$11)*Settings!$B$14,0)</f>
        <v>84000</v>
      </c>
      <c r="D13" s="16" t="n">
        <f aca="false">ROUND(B13*Settings!$B$15,0)</f>
        <v>24000</v>
      </c>
      <c r="E13" s="16" t="n">
        <f aca="false">ROUND(B13*Settings!$B$18,0)</f>
        <v>1200</v>
      </c>
      <c r="F13" s="16" t="n">
        <f aca="false">ROUND((B13-C13-D13-E13)*Settings!$B$20,0)</f>
        <v>1454</v>
      </c>
      <c r="G13" s="16" t="n">
        <f aca="false">B13-C13-D13-E13-F13</f>
        <v>289346</v>
      </c>
      <c r="H13" s="16" t="n">
        <f aca="false">ROUND(B13*Settings!$B$16,0)</f>
        <v>24000</v>
      </c>
      <c r="I13" s="16" t="n">
        <f aca="false">ROUND(B13*Settings!$B$17,0)</f>
        <v>8000</v>
      </c>
      <c r="J13" s="16" t="n">
        <f aca="false">ROUND(B13*Settings!$B$19,0)</f>
        <v>1200</v>
      </c>
      <c r="K13" s="16" t="n">
        <f aca="false">H13+I13+J13</f>
        <v>33200</v>
      </c>
      <c r="L13" s="16" t="n">
        <f aca="false">C13+D13+E13+F13+K13</f>
        <v>143854</v>
      </c>
    </row>
    <row r="14" customFormat="false" ht="15" hidden="false" customHeight="false" outlineLevel="0" collapsed="false">
      <c r="A14" s="15" t="n">
        <v>45931</v>
      </c>
      <c r="B14" s="10" t="n">
        <v>400000</v>
      </c>
      <c r="C14" s="16" t="n">
        <f aca="false">ROUND(MAX(0,MIN(B14,Settings!$B$10)-Settings!$B$9)*Settings!$B$12+MAX(0,MIN(B14,Settings!$B$11)-Settings!$B$10)*Settings!$B$13+MAX(0,B14-Settings!$B$11)*Settings!$B$14,0)</f>
        <v>84000</v>
      </c>
      <c r="D14" s="16" t="n">
        <f aca="false">ROUND(B14*Settings!$B$15,0)</f>
        <v>24000</v>
      </c>
      <c r="E14" s="16" t="n">
        <f aca="false">ROUND(B14*Settings!$B$18,0)</f>
        <v>1200</v>
      </c>
      <c r="F14" s="16" t="n">
        <f aca="false">ROUND((B14-C14-D14-E14)*Settings!$B$20,0)</f>
        <v>1454</v>
      </c>
      <c r="G14" s="16" t="n">
        <f aca="false">B14-C14-D14-E14-F14</f>
        <v>289346</v>
      </c>
      <c r="H14" s="16" t="n">
        <f aca="false">ROUND(B14*Settings!$B$16,0)</f>
        <v>24000</v>
      </c>
      <c r="I14" s="16" t="n">
        <f aca="false">ROUND(B14*Settings!$B$17,0)</f>
        <v>8000</v>
      </c>
      <c r="J14" s="16" t="n">
        <f aca="false">ROUND(B14*Settings!$B$19,0)</f>
        <v>1200</v>
      </c>
      <c r="K14" s="16" t="n">
        <f aca="false">H14+I14+J14</f>
        <v>33200</v>
      </c>
      <c r="L14" s="16" t="n">
        <f aca="false">C14+D14+E14+F14+K14</f>
        <v>143854</v>
      </c>
    </row>
    <row r="15" customFormat="false" ht="15" hidden="false" customHeight="false" outlineLevel="0" collapsed="false">
      <c r="A15" s="15" t="n">
        <v>45962</v>
      </c>
      <c r="B15" s="10" t="n">
        <v>400000</v>
      </c>
      <c r="C15" s="16" t="n">
        <f aca="false">ROUND(MAX(0,MIN(B15,Settings!$B$10)-Settings!$B$9)*Settings!$B$12+MAX(0,MIN(B15,Settings!$B$11)-Settings!$B$10)*Settings!$B$13+MAX(0,B15-Settings!$B$11)*Settings!$B$14,0)</f>
        <v>84000</v>
      </c>
      <c r="D15" s="16" t="n">
        <f aca="false">ROUND(B15*Settings!$B$15,0)</f>
        <v>24000</v>
      </c>
      <c r="E15" s="16" t="n">
        <f aca="false">ROUND(B15*Settings!$B$18,0)</f>
        <v>1200</v>
      </c>
      <c r="F15" s="16" t="n">
        <f aca="false">ROUND((B15-C15-D15-E15)*Settings!$B$20,0)</f>
        <v>1454</v>
      </c>
      <c r="G15" s="16" t="n">
        <f aca="false">B15-C15-D15-E15-F15</f>
        <v>289346</v>
      </c>
      <c r="H15" s="16" t="n">
        <f aca="false">ROUND(B15*Settings!$B$16,0)</f>
        <v>24000</v>
      </c>
      <c r="I15" s="16" t="n">
        <f aca="false">ROUND(B15*Settings!$B$17,0)</f>
        <v>8000</v>
      </c>
      <c r="J15" s="16" t="n">
        <f aca="false">ROUND(B15*Settings!$B$19,0)</f>
        <v>1200</v>
      </c>
      <c r="K15" s="16" t="n">
        <f aca="false">H15+I15+J15</f>
        <v>33200</v>
      </c>
      <c r="L15" s="16" t="n">
        <f aca="false">C15+D15+E15+F15+K15</f>
        <v>143854</v>
      </c>
    </row>
    <row r="16" customFormat="false" ht="15" hidden="false" customHeight="false" outlineLevel="0" collapsed="false">
      <c r="A16" s="15" t="n">
        <v>45992</v>
      </c>
      <c r="B16" s="10" t="n">
        <v>400000</v>
      </c>
      <c r="C16" s="16" t="n">
        <f aca="false">ROUND(MAX(0,MIN(B16,Settings!$B$10)-Settings!$B$9)*Settings!$B$12+MAX(0,MIN(B16,Settings!$B$11)-Settings!$B$10)*Settings!$B$13+MAX(0,B16-Settings!$B$11)*Settings!$B$14,0)</f>
        <v>84000</v>
      </c>
      <c r="D16" s="16" t="n">
        <f aca="false">ROUND(B16*Settings!$B$15,0)</f>
        <v>24000</v>
      </c>
      <c r="E16" s="16" t="n">
        <f aca="false">ROUND(B16*Settings!$B$18,0)</f>
        <v>1200</v>
      </c>
      <c r="F16" s="16" t="n">
        <f aca="false">ROUND((B16-C16-D16-E16)*Settings!$B$20,0)</f>
        <v>1454</v>
      </c>
      <c r="G16" s="16" t="n">
        <f aca="false">B16-C16-D16-E16-F16</f>
        <v>289346</v>
      </c>
      <c r="H16" s="16" t="n">
        <f aca="false">ROUND(B16*Settings!$B$16,0)</f>
        <v>24000</v>
      </c>
      <c r="I16" s="16" t="n">
        <f aca="false">ROUND(B16*Settings!$B$17,0)</f>
        <v>8000</v>
      </c>
      <c r="J16" s="16" t="n">
        <f aca="false">ROUND(B16*Settings!$B$19,0)</f>
        <v>1200</v>
      </c>
      <c r="K16" s="16" t="n">
        <f aca="false">H16+I16+J16</f>
        <v>33200</v>
      </c>
      <c r="L16" s="16" t="n">
        <f aca="false">C16+D16+E16+F16+K16</f>
        <v>143854</v>
      </c>
    </row>
    <row r="17" customFormat="false" ht="15" hidden="false" customHeight="false" outlineLevel="0" collapsed="false">
      <c r="A17" s="5" t="s">
        <v>347</v>
      </c>
      <c r="B17" s="13" t="n">
        <f aca="false">SUM(B5:B16)</f>
        <v>4800000</v>
      </c>
      <c r="C17" s="13" t="n">
        <f aca="false">SUM(C5:C16)</f>
        <v>1008000</v>
      </c>
      <c r="D17" s="13" t="n">
        <f aca="false">SUM(D5:D16)</f>
        <v>288000</v>
      </c>
      <c r="E17" s="13" t="n">
        <f aca="false">SUM(E5:E16)</f>
        <v>14400</v>
      </c>
      <c r="F17" s="13" t="n">
        <f aca="false">SUM(F5:F16)</f>
        <v>17448</v>
      </c>
      <c r="G17" s="13" t="n">
        <f aca="false">SUM(G5:G16)</f>
        <v>3472152</v>
      </c>
      <c r="H17" s="13" t="n">
        <f aca="false">SUM(H5:H16)</f>
        <v>288000</v>
      </c>
      <c r="I17" s="13" t="n">
        <f aca="false">SUM(I5:I16)</f>
        <v>96000</v>
      </c>
      <c r="J17" s="13" t="n">
        <f aca="false">SUM(J5:J16)</f>
        <v>14400</v>
      </c>
      <c r="K17" s="13" t="n">
        <f aca="false">SUM(K5:K16)</f>
        <v>398400</v>
      </c>
      <c r="L17" s="13" t="n">
        <f aca="false">SUM(L5:L16)</f>
        <v>1726248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30"/>
    <col collapsed="false" customWidth="true" hidden="false" outlineLevel="0" max="9" min="9" style="0" width="15"/>
  </cols>
  <sheetData>
    <row r="1" customFormat="false" ht="16.15" hidden="false" customHeight="false" outlineLevel="0" collapsed="false">
      <c r="A1" s="1" t="s">
        <v>348</v>
      </c>
    </row>
    <row r="2" customFormat="false" ht="15" hidden="false" customHeight="false" outlineLevel="0" collapsed="false">
      <c r="A2" s="11" t="s">
        <v>349</v>
      </c>
    </row>
    <row r="4" customFormat="false" ht="23.85" hidden="false" customHeight="false" outlineLevel="0" collapsed="false">
      <c r="A4" s="2" t="s">
        <v>172</v>
      </c>
      <c r="B4" s="2" t="s">
        <v>350</v>
      </c>
      <c r="C4" s="2" t="s">
        <v>162</v>
      </c>
      <c r="D4" s="2" t="s">
        <v>174</v>
      </c>
      <c r="E4" s="2" t="s">
        <v>226</v>
      </c>
      <c r="F4" s="2" t="s">
        <v>351</v>
      </c>
      <c r="G4" s="2" t="s">
        <v>352</v>
      </c>
      <c r="H4" s="2" t="s">
        <v>95</v>
      </c>
      <c r="I4" s="2" t="s">
        <v>353</v>
      </c>
    </row>
    <row r="5" customFormat="false" ht="15" hidden="false" customHeight="false" outlineLevel="0" collapsed="false">
      <c r="A5" s="14" t="n">
        <v>45660</v>
      </c>
      <c r="B5" s="7" t="s">
        <v>354</v>
      </c>
      <c r="C5" s="7" t="s">
        <v>228</v>
      </c>
      <c r="D5" s="7" t="s">
        <v>355</v>
      </c>
      <c r="E5" s="7" t="n">
        <v>2100</v>
      </c>
      <c r="F5" s="10" t="n">
        <v>0</v>
      </c>
      <c r="G5" s="10" t="n">
        <v>350000</v>
      </c>
      <c r="H5" s="6" t="str">
        <f aca="false">IF(E5="","",IFERROR(INDEX(COA!$B$4:$B$37,MATCH(E5,COA!$A$4:$A$37,0)),"INVALID CODE"))</f>
        <v>Trade payables</v>
      </c>
      <c r="I5" s="16" t="n">
        <f aca="false">SUMIFS(Opening_TB!$C$5:$C$13,Opening_TB!$A$5:$A$13,Settings!$B$6)+F5-G5</f>
        <v>1150000</v>
      </c>
    </row>
    <row r="6" customFormat="false" ht="15" hidden="false" customHeight="false" outlineLevel="0" collapsed="false">
      <c r="A6" s="14" t="n">
        <v>45664</v>
      </c>
      <c r="B6" s="7" t="s">
        <v>356</v>
      </c>
      <c r="C6" s="7" t="s">
        <v>178</v>
      </c>
      <c r="D6" s="7" t="s">
        <v>357</v>
      </c>
      <c r="E6" s="7" t="n">
        <v>1200</v>
      </c>
      <c r="F6" s="10" t="n">
        <v>550000</v>
      </c>
      <c r="G6" s="10" t="n">
        <v>0</v>
      </c>
      <c r="H6" s="6" t="str">
        <f aca="false">IF(E6="","",IFERROR(INDEX(COA!$B$4:$B$37,MATCH(E6,COA!$A$4:$A$37,0)),"INVALID CODE"))</f>
        <v>Trade receivables</v>
      </c>
      <c r="I6" s="16" t="n">
        <f aca="false">I5+F6-G6</f>
        <v>1700000</v>
      </c>
    </row>
    <row r="7" customFormat="false" ht="15" hidden="false" customHeight="false" outlineLevel="0" collapsed="false">
      <c r="A7" s="14" t="n">
        <v>45667</v>
      </c>
      <c r="B7" s="7" t="s">
        <v>358</v>
      </c>
      <c r="C7" s="7" t="s">
        <v>167</v>
      </c>
      <c r="D7" s="7" t="s">
        <v>359</v>
      </c>
      <c r="E7" s="7" t="n">
        <v>2100</v>
      </c>
      <c r="F7" s="10" t="n">
        <v>0</v>
      </c>
      <c r="G7" s="10" t="n">
        <v>250000</v>
      </c>
      <c r="H7" s="6" t="str">
        <f aca="false">IF(E7="","",IFERROR(INDEX(COA!$B$4:$B$37,MATCH(E7,COA!$A$4:$A$37,0)),"INVALID CODE"))</f>
        <v>Trade payables</v>
      </c>
      <c r="I7" s="16" t="n">
        <f aca="false">I6+F7-G7</f>
        <v>1450000</v>
      </c>
    </row>
    <row r="8" customFormat="false" ht="15" hidden="false" customHeight="false" outlineLevel="0" collapsed="false">
      <c r="A8" s="14" t="n">
        <v>45672</v>
      </c>
      <c r="B8" s="7" t="s">
        <v>360</v>
      </c>
      <c r="C8" s="7" t="s">
        <v>165</v>
      </c>
      <c r="D8" s="7" t="s">
        <v>361</v>
      </c>
      <c r="E8" s="7" t="n">
        <v>1200</v>
      </c>
      <c r="F8" s="10" t="n">
        <v>600000</v>
      </c>
      <c r="G8" s="10" t="n">
        <v>0</v>
      </c>
      <c r="H8" s="6" t="str">
        <f aca="false">IF(E8="","",IFERROR(INDEX(COA!$B$4:$B$37,MATCH(E8,COA!$A$4:$A$37,0)),"INVALID CODE"))</f>
        <v>Trade receivables</v>
      </c>
      <c r="I8" s="16" t="n">
        <f aca="false">I7+F8-G8</f>
        <v>2050000</v>
      </c>
    </row>
    <row r="9" customFormat="false" ht="15" hidden="false" customHeight="false" outlineLevel="0" collapsed="false">
      <c r="A9" s="14" t="n">
        <v>45672</v>
      </c>
      <c r="B9" s="7" t="s">
        <v>362</v>
      </c>
      <c r="C9" s="7" t="s">
        <v>363</v>
      </c>
      <c r="D9" s="7" t="s">
        <v>364</v>
      </c>
      <c r="E9" s="7" t="n">
        <v>1500</v>
      </c>
      <c r="F9" s="10" t="n">
        <v>0</v>
      </c>
      <c r="G9" s="10" t="n">
        <v>950000</v>
      </c>
      <c r="H9" s="6" t="str">
        <f aca="false">IF(E9="","",IFERROR(INDEX(COA!$B$4:$B$37,MATCH(E9,COA!$A$4:$A$37,0)),"INVALID CODE"))</f>
        <v>Property, plant and equipment - cost</v>
      </c>
      <c r="I9" s="16" t="n">
        <f aca="false">I8+F9-G9</f>
        <v>1100000</v>
      </c>
    </row>
    <row r="10" customFormat="false" ht="15" hidden="false" customHeight="false" outlineLevel="0" collapsed="false">
      <c r="A10" s="14" t="n">
        <v>45677</v>
      </c>
      <c r="B10" s="7" t="s">
        <v>365</v>
      </c>
      <c r="C10" s="7" t="s">
        <v>165</v>
      </c>
      <c r="D10" s="7" t="s">
        <v>366</v>
      </c>
      <c r="E10" s="7" t="n">
        <v>1200</v>
      </c>
      <c r="F10" s="10" t="n">
        <v>1800000</v>
      </c>
      <c r="G10" s="10" t="n">
        <v>0</v>
      </c>
      <c r="H10" s="6" t="str">
        <f aca="false">IF(E10="","",IFERROR(INDEX(COA!$B$4:$B$37,MATCH(E10,COA!$A$4:$A$37,0)),"INVALID CODE"))</f>
        <v>Trade receivables</v>
      </c>
      <c r="I10" s="16" t="n">
        <f aca="false">I9+F10-G10</f>
        <v>2900000</v>
      </c>
    </row>
    <row r="11" customFormat="false" ht="15" hidden="false" customHeight="false" outlineLevel="0" collapsed="false">
      <c r="A11" s="14" t="n">
        <v>45681</v>
      </c>
      <c r="B11" s="7" t="s">
        <v>367</v>
      </c>
      <c r="C11" s="7" t="s">
        <v>231</v>
      </c>
      <c r="D11" s="7" t="s">
        <v>368</v>
      </c>
      <c r="E11" s="7" t="n">
        <v>2100</v>
      </c>
      <c r="F11" s="10" t="n">
        <v>0</v>
      </c>
      <c r="G11" s="10" t="n">
        <v>60000</v>
      </c>
      <c r="H11" s="6" t="str">
        <f aca="false">IF(E11="","",IFERROR(INDEX(COA!$B$4:$B$37,MATCH(E11,COA!$A$4:$A$37,0)),"INVALID CODE"))</f>
        <v>Trade payables</v>
      </c>
      <c r="I11" s="16" t="n">
        <f aca="false">I10+F11-G11</f>
        <v>2840000</v>
      </c>
    </row>
    <row r="12" customFormat="false" ht="15" hidden="false" customHeight="false" outlineLevel="0" collapsed="false">
      <c r="A12" s="14" t="n">
        <v>45683</v>
      </c>
      <c r="B12" s="7" t="s">
        <v>369</v>
      </c>
      <c r="C12" s="7" t="s">
        <v>234</v>
      </c>
      <c r="D12" s="7" t="s">
        <v>370</v>
      </c>
      <c r="E12" s="7" t="n">
        <v>2100</v>
      </c>
      <c r="F12" s="10" t="n">
        <v>0</v>
      </c>
      <c r="G12" s="10" t="n">
        <v>80000</v>
      </c>
      <c r="H12" s="6" t="str">
        <f aca="false">IF(E12="","",IFERROR(INDEX(COA!$B$4:$B$37,MATCH(E12,COA!$A$4:$A$37,0)),"INVALID CODE"))</f>
        <v>Trade payables</v>
      </c>
      <c r="I12" s="16" t="n">
        <f aca="false">I11+F12-G12</f>
        <v>2760000</v>
      </c>
    </row>
    <row r="13" customFormat="false" ht="15" hidden="false" customHeight="false" outlineLevel="0" collapsed="false">
      <c r="A13" s="14" t="n">
        <v>45685</v>
      </c>
      <c r="B13" s="7" t="s">
        <v>371</v>
      </c>
      <c r="C13" s="7" t="s">
        <v>167</v>
      </c>
      <c r="D13" s="7" t="s">
        <v>372</v>
      </c>
      <c r="E13" s="7" t="n">
        <v>2100</v>
      </c>
      <c r="F13" s="10" t="n">
        <v>0</v>
      </c>
      <c r="G13" s="10" t="n">
        <v>400000</v>
      </c>
      <c r="H13" s="6" t="str">
        <f aca="false">IF(E13="","",IFERROR(INDEX(COA!$B$4:$B$37,MATCH(E13,COA!$A$4:$A$37,0)),"INVALID CODE"))</f>
        <v>Trade payables</v>
      </c>
      <c r="I13" s="16" t="n">
        <f aca="false">I12+F13-G13</f>
        <v>2360000</v>
      </c>
    </row>
    <row r="14" customFormat="false" ht="15" hidden="false" customHeight="false" outlineLevel="0" collapsed="false">
      <c r="A14" s="14" t="n">
        <v>45685</v>
      </c>
      <c r="B14" s="7" t="s">
        <v>373</v>
      </c>
      <c r="C14" s="7" t="s">
        <v>374</v>
      </c>
      <c r="D14" s="7" t="s">
        <v>375</v>
      </c>
      <c r="E14" s="7" t="n">
        <v>2410</v>
      </c>
      <c r="F14" s="10" t="n">
        <v>0</v>
      </c>
      <c r="G14" s="10" t="n">
        <v>289346</v>
      </c>
      <c r="H14" s="6" t="str">
        <f aca="false">IF(E14="","",IFERROR(INDEX(COA!$B$4:$B$37,MATCH(E14,COA!$A$4:$A$37,0)),"INVALID CODE"))</f>
        <v>Net salaries payable</v>
      </c>
      <c r="I14" s="16" t="n">
        <f aca="false">I13+F14-G14</f>
        <v>2070654</v>
      </c>
    </row>
    <row r="15" customFormat="false" ht="15" hidden="false" customHeight="false" outlineLevel="0" collapsed="false">
      <c r="A15" s="14" t="n">
        <v>45691</v>
      </c>
      <c r="B15" s="7" t="s">
        <v>376</v>
      </c>
      <c r="C15" s="7" t="s">
        <v>228</v>
      </c>
      <c r="D15" s="7" t="s">
        <v>377</v>
      </c>
      <c r="E15" s="7" t="n">
        <v>2100</v>
      </c>
      <c r="F15" s="10" t="n">
        <v>0</v>
      </c>
      <c r="G15" s="10" t="n">
        <v>350000</v>
      </c>
      <c r="H15" s="6" t="str">
        <f aca="false">IF(E15="","",IFERROR(INDEX(COA!$B$4:$B$37,MATCH(E15,COA!$A$4:$A$37,0)),"INVALID CODE"))</f>
        <v>Trade payables</v>
      </c>
      <c r="I15" s="16" t="n">
        <f aca="false">I14+F15-G15</f>
        <v>1720654</v>
      </c>
    </row>
    <row r="16" customFormat="false" ht="15" hidden="false" customHeight="false" outlineLevel="0" collapsed="false">
      <c r="A16" s="14" t="n">
        <v>45695</v>
      </c>
      <c r="B16" s="7" t="s">
        <v>378</v>
      </c>
      <c r="C16" s="7" t="s">
        <v>178</v>
      </c>
      <c r="D16" s="7" t="s">
        <v>379</v>
      </c>
      <c r="E16" s="7" t="n">
        <v>1200</v>
      </c>
      <c r="F16" s="10" t="n">
        <v>550000</v>
      </c>
      <c r="G16" s="10" t="n">
        <v>0</v>
      </c>
      <c r="H16" s="6" t="str">
        <f aca="false">IF(E16="","",IFERROR(INDEX(COA!$B$4:$B$37,MATCH(E16,COA!$A$4:$A$37,0)),"INVALID CODE"))</f>
        <v>Trade receivables</v>
      </c>
      <c r="I16" s="16" t="n">
        <f aca="false">I15+F16-G16</f>
        <v>2270654</v>
      </c>
    </row>
    <row r="17" customFormat="false" ht="15" hidden="false" customHeight="false" outlineLevel="0" collapsed="false">
      <c r="A17" s="14" t="n">
        <v>45703</v>
      </c>
      <c r="B17" s="7" t="s">
        <v>380</v>
      </c>
      <c r="C17" s="7" t="s">
        <v>381</v>
      </c>
      <c r="D17" s="7" t="s">
        <v>382</v>
      </c>
      <c r="E17" s="7" t="n">
        <v>2400</v>
      </c>
      <c r="F17" s="10" t="n">
        <v>0</v>
      </c>
      <c r="G17" s="10" t="n">
        <v>143854</v>
      </c>
      <c r="H17" s="6" t="str">
        <f aca="false">IF(E17="","",IFERROR(INDEX(COA!$B$4:$B$37,MATCH(E17,COA!$A$4:$A$37,0)),"INVALID CODE"))</f>
        <v>PAYE and RSSB contributions payable</v>
      </c>
      <c r="I17" s="16" t="n">
        <f aca="false">I16+F17-G17</f>
        <v>2126800</v>
      </c>
    </row>
    <row r="18" customFormat="false" ht="15" hidden="false" customHeight="false" outlineLevel="0" collapsed="false">
      <c r="A18" s="14" t="n">
        <v>45708</v>
      </c>
      <c r="B18" s="7" t="s">
        <v>383</v>
      </c>
      <c r="C18" s="7" t="s">
        <v>241</v>
      </c>
      <c r="D18" s="7" t="s">
        <v>384</v>
      </c>
      <c r="E18" s="7" t="n">
        <v>2100</v>
      </c>
      <c r="F18" s="10" t="n">
        <v>0</v>
      </c>
      <c r="G18" s="10" t="n">
        <v>120000</v>
      </c>
      <c r="H18" s="6" t="str">
        <f aca="false">IF(E18="","",IFERROR(INDEX(COA!$B$4:$B$37,MATCH(E18,COA!$A$4:$A$37,0)),"INVALID CODE"))</f>
        <v>Trade payables</v>
      </c>
      <c r="I18" s="16" t="n">
        <f aca="false">I17+F18-G18</f>
        <v>2006800</v>
      </c>
    </row>
    <row r="19" customFormat="false" ht="15" hidden="false" customHeight="false" outlineLevel="0" collapsed="false">
      <c r="A19" s="14" t="n">
        <v>45712</v>
      </c>
      <c r="B19" s="7" t="s">
        <v>385</v>
      </c>
      <c r="C19" s="7" t="s">
        <v>231</v>
      </c>
      <c r="D19" s="7" t="s">
        <v>386</v>
      </c>
      <c r="E19" s="7" t="n">
        <v>2100</v>
      </c>
      <c r="F19" s="10" t="n">
        <v>0</v>
      </c>
      <c r="G19" s="10" t="n">
        <v>60000</v>
      </c>
      <c r="H19" s="6" t="str">
        <f aca="false">IF(E19="","",IFERROR(INDEX(COA!$B$4:$B$37,MATCH(E19,COA!$A$4:$A$37,0)),"INVALID CODE"))</f>
        <v>Trade payables</v>
      </c>
      <c r="I19" s="16" t="n">
        <f aca="false">I18+F19-G19</f>
        <v>1946800</v>
      </c>
    </row>
    <row r="20" customFormat="false" ht="15" hidden="false" customHeight="false" outlineLevel="0" collapsed="false">
      <c r="A20" s="14" t="n">
        <v>45714</v>
      </c>
      <c r="B20" s="7" t="s">
        <v>387</v>
      </c>
      <c r="C20" s="7" t="s">
        <v>234</v>
      </c>
      <c r="D20" s="7" t="s">
        <v>388</v>
      </c>
      <c r="E20" s="7" t="n">
        <v>2100</v>
      </c>
      <c r="F20" s="10" t="n">
        <v>0</v>
      </c>
      <c r="G20" s="10" t="n">
        <v>80000</v>
      </c>
      <c r="H20" s="6" t="str">
        <f aca="false">IF(E20="","",IFERROR(INDEX(COA!$B$4:$B$37,MATCH(E20,COA!$A$4:$A$37,0)),"INVALID CODE"))</f>
        <v>Trade payables</v>
      </c>
      <c r="I20" s="16" t="n">
        <f aca="false">I19+F20-G20</f>
        <v>1866800</v>
      </c>
    </row>
    <row r="21" customFormat="false" ht="15" hidden="false" customHeight="false" outlineLevel="0" collapsed="false">
      <c r="A21" s="14" t="n">
        <v>45716</v>
      </c>
      <c r="B21" s="7" t="s">
        <v>389</v>
      </c>
      <c r="C21" s="7" t="s">
        <v>167</v>
      </c>
      <c r="D21" s="7" t="s">
        <v>390</v>
      </c>
      <c r="E21" s="7" t="n">
        <v>2100</v>
      </c>
      <c r="F21" s="10" t="n">
        <v>0</v>
      </c>
      <c r="G21" s="10" t="n">
        <v>400000</v>
      </c>
      <c r="H21" s="6" t="str">
        <f aca="false">IF(E21="","",IFERROR(INDEX(COA!$B$4:$B$37,MATCH(E21,COA!$A$4:$A$37,0)),"INVALID CODE"))</f>
        <v>Trade payables</v>
      </c>
      <c r="I21" s="16" t="n">
        <f aca="false">I20+F21-G21</f>
        <v>1466800</v>
      </c>
    </row>
    <row r="22" customFormat="false" ht="15" hidden="false" customHeight="false" outlineLevel="0" collapsed="false">
      <c r="A22" s="14" t="n">
        <v>45716</v>
      </c>
      <c r="B22" s="7" t="s">
        <v>391</v>
      </c>
      <c r="C22" s="7" t="s">
        <v>374</v>
      </c>
      <c r="D22" s="7" t="s">
        <v>392</v>
      </c>
      <c r="E22" s="7" t="n">
        <v>2410</v>
      </c>
      <c r="F22" s="10" t="n">
        <v>0</v>
      </c>
      <c r="G22" s="10" t="n">
        <v>289346</v>
      </c>
      <c r="H22" s="6" t="str">
        <f aca="false">IF(E22="","",IFERROR(INDEX(COA!$B$4:$B$37,MATCH(E22,COA!$A$4:$A$37,0)),"INVALID CODE"))</f>
        <v>Net salaries payable</v>
      </c>
      <c r="I22" s="16" t="n">
        <f aca="false">I21+F22-G22</f>
        <v>1177454</v>
      </c>
    </row>
    <row r="23" customFormat="false" ht="15" hidden="false" customHeight="false" outlineLevel="0" collapsed="false">
      <c r="A23" s="14" t="n">
        <v>45719</v>
      </c>
      <c r="B23" s="7" t="s">
        <v>393</v>
      </c>
      <c r="C23" s="7" t="s">
        <v>228</v>
      </c>
      <c r="D23" s="7" t="s">
        <v>394</v>
      </c>
      <c r="E23" s="7" t="n">
        <v>2100</v>
      </c>
      <c r="F23" s="10" t="n">
        <v>0</v>
      </c>
      <c r="G23" s="10" t="n">
        <v>350000</v>
      </c>
      <c r="H23" s="6" t="str">
        <f aca="false">IF(E23="","",IFERROR(INDEX(COA!$B$4:$B$37,MATCH(E23,COA!$A$4:$A$37,0)),"INVALID CODE"))</f>
        <v>Trade payables</v>
      </c>
      <c r="I23" s="16" t="n">
        <f aca="false">I22+F23-G23</f>
        <v>827454</v>
      </c>
    </row>
    <row r="24" customFormat="false" ht="15" hidden="false" customHeight="false" outlineLevel="0" collapsed="false">
      <c r="A24" s="14" t="n">
        <v>45723</v>
      </c>
      <c r="B24" s="7" t="s">
        <v>395</v>
      </c>
      <c r="C24" s="7" t="s">
        <v>178</v>
      </c>
      <c r="D24" s="7" t="s">
        <v>396</v>
      </c>
      <c r="E24" s="7" t="n">
        <v>1200</v>
      </c>
      <c r="F24" s="10" t="n">
        <v>550000</v>
      </c>
      <c r="G24" s="10" t="n">
        <v>0</v>
      </c>
      <c r="H24" s="6" t="str">
        <f aca="false">IF(E24="","",IFERROR(INDEX(COA!$B$4:$B$37,MATCH(E24,COA!$A$4:$A$37,0)),"INVALID CODE"))</f>
        <v>Trade receivables</v>
      </c>
      <c r="I24" s="16" t="n">
        <f aca="false">I23+F24-G24</f>
        <v>1377454</v>
      </c>
    </row>
    <row r="25" customFormat="false" ht="15" hidden="false" customHeight="false" outlineLevel="0" collapsed="false">
      <c r="A25" s="14" t="n">
        <v>45731</v>
      </c>
      <c r="B25" s="7" t="s">
        <v>397</v>
      </c>
      <c r="C25" s="7" t="s">
        <v>381</v>
      </c>
      <c r="D25" s="7" t="s">
        <v>398</v>
      </c>
      <c r="E25" s="7" t="n">
        <v>2400</v>
      </c>
      <c r="F25" s="10" t="n">
        <v>0</v>
      </c>
      <c r="G25" s="10" t="n">
        <v>143854</v>
      </c>
      <c r="H25" s="6" t="str">
        <f aca="false">IF(E25="","",IFERROR(INDEX(COA!$B$4:$B$37,MATCH(E25,COA!$A$4:$A$37,0)),"INVALID CODE"))</f>
        <v>PAYE and RSSB contributions payable</v>
      </c>
      <c r="I25" s="16" t="n">
        <f aca="false">I24+F25-G25</f>
        <v>1233600</v>
      </c>
    </row>
    <row r="26" customFormat="false" ht="15" hidden="false" customHeight="false" outlineLevel="0" collapsed="false">
      <c r="A26" s="14" t="n">
        <v>45734</v>
      </c>
      <c r="B26" s="7" t="s">
        <v>399</v>
      </c>
      <c r="C26" s="7" t="s">
        <v>400</v>
      </c>
      <c r="D26" s="7" t="s">
        <v>401</v>
      </c>
      <c r="E26" s="7" t="n">
        <v>5800</v>
      </c>
      <c r="F26" s="10" t="n">
        <v>0</v>
      </c>
      <c r="G26" s="10" t="n">
        <v>180000</v>
      </c>
      <c r="H26" s="6" t="str">
        <f aca="false">IF(E26="","",IFERROR(INDEX(COA!$B$4:$B$37,MATCH(E26,COA!$A$4:$A$37,0)),"INVALID CODE"))</f>
        <v>Trading licence and fees</v>
      </c>
      <c r="I26" s="16" t="n">
        <f aca="false">I25+F26-G26</f>
        <v>1053600</v>
      </c>
    </row>
    <row r="27" customFormat="false" ht="15" hidden="false" customHeight="false" outlineLevel="0" collapsed="false">
      <c r="A27" s="14" t="n">
        <v>45740</v>
      </c>
      <c r="B27" s="7" t="s">
        <v>402</v>
      </c>
      <c r="C27" s="7" t="s">
        <v>231</v>
      </c>
      <c r="D27" s="7" t="s">
        <v>403</v>
      </c>
      <c r="E27" s="7" t="n">
        <v>2100</v>
      </c>
      <c r="F27" s="10" t="n">
        <v>0</v>
      </c>
      <c r="G27" s="10" t="n">
        <v>60000</v>
      </c>
      <c r="H27" s="6" t="str">
        <f aca="false">IF(E27="","",IFERROR(INDEX(COA!$B$4:$B$37,MATCH(E27,COA!$A$4:$A$37,0)),"INVALID CODE"))</f>
        <v>Trade payables</v>
      </c>
      <c r="I27" s="16" t="n">
        <f aca="false">I26+F27-G27</f>
        <v>993600</v>
      </c>
    </row>
    <row r="28" customFormat="false" ht="15" hidden="false" customHeight="false" outlineLevel="0" collapsed="false">
      <c r="A28" s="14" t="n">
        <v>45741</v>
      </c>
      <c r="B28" s="7" t="s">
        <v>404</v>
      </c>
      <c r="C28" s="7" t="s">
        <v>165</v>
      </c>
      <c r="D28" s="7" t="s">
        <v>405</v>
      </c>
      <c r="E28" s="7" t="n">
        <v>1200</v>
      </c>
      <c r="F28" s="10" t="n">
        <v>1200000</v>
      </c>
      <c r="G28" s="10" t="n">
        <v>0</v>
      </c>
      <c r="H28" s="6" t="str">
        <f aca="false">IF(E28="","",IFERROR(INDEX(COA!$B$4:$B$37,MATCH(E28,COA!$A$4:$A$37,0)),"INVALID CODE"))</f>
        <v>Trade receivables</v>
      </c>
      <c r="I28" s="16" t="n">
        <f aca="false">I27+F28-G28</f>
        <v>2193600</v>
      </c>
    </row>
    <row r="29" customFormat="false" ht="15" hidden="false" customHeight="false" outlineLevel="0" collapsed="false">
      <c r="A29" s="14" t="n">
        <v>45742</v>
      </c>
      <c r="B29" s="7" t="s">
        <v>406</v>
      </c>
      <c r="C29" s="7" t="s">
        <v>234</v>
      </c>
      <c r="D29" s="7" t="s">
        <v>407</v>
      </c>
      <c r="E29" s="7" t="n">
        <v>2100</v>
      </c>
      <c r="F29" s="10" t="n">
        <v>0</v>
      </c>
      <c r="G29" s="10" t="n">
        <v>80000</v>
      </c>
      <c r="H29" s="6" t="str">
        <f aca="false">IF(E29="","",IFERROR(INDEX(COA!$B$4:$B$37,MATCH(E29,COA!$A$4:$A$37,0)),"INVALID CODE"))</f>
        <v>Trade payables</v>
      </c>
      <c r="I29" s="16" t="n">
        <f aca="false">I28+F29-G29</f>
        <v>2113600</v>
      </c>
    </row>
    <row r="30" customFormat="false" ht="15" hidden="false" customHeight="false" outlineLevel="0" collapsed="false">
      <c r="A30" s="14" t="n">
        <v>45744</v>
      </c>
      <c r="B30" s="7" t="s">
        <v>408</v>
      </c>
      <c r="C30" s="7" t="s">
        <v>167</v>
      </c>
      <c r="D30" s="7" t="s">
        <v>409</v>
      </c>
      <c r="E30" s="7" t="n">
        <v>2100</v>
      </c>
      <c r="F30" s="10" t="n">
        <v>0</v>
      </c>
      <c r="G30" s="10" t="n">
        <v>400000</v>
      </c>
      <c r="H30" s="6" t="str">
        <f aca="false">IF(E30="","",IFERROR(INDEX(COA!$B$4:$B$37,MATCH(E30,COA!$A$4:$A$37,0)),"INVALID CODE"))</f>
        <v>Trade payables</v>
      </c>
      <c r="I30" s="16" t="n">
        <f aca="false">I29+F30-G30</f>
        <v>1713600</v>
      </c>
    </row>
    <row r="31" customFormat="false" ht="15" hidden="false" customHeight="false" outlineLevel="0" collapsed="false">
      <c r="A31" s="14" t="n">
        <v>45744</v>
      </c>
      <c r="B31" s="7" t="s">
        <v>410</v>
      </c>
      <c r="C31" s="7" t="s">
        <v>374</v>
      </c>
      <c r="D31" s="7" t="s">
        <v>411</v>
      </c>
      <c r="E31" s="7" t="n">
        <v>2410</v>
      </c>
      <c r="F31" s="10" t="n">
        <v>0</v>
      </c>
      <c r="G31" s="10" t="n">
        <v>289346</v>
      </c>
      <c r="H31" s="6" t="str">
        <f aca="false">IF(E31="","",IFERROR(INDEX(COA!$B$4:$B$37,MATCH(E31,COA!$A$4:$A$37,0)),"INVALID CODE"))</f>
        <v>Net salaries payable</v>
      </c>
      <c r="I31" s="16" t="n">
        <f aca="false">I30+F31-G31</f>
        <v>1424254</v>
      </c>
    </row>
    <row r="32" customFormat="false" ht="15" hidden="false" customHeight="false" outlineLevel="0" collapsed="false">
      <c r="A32" s="14" t="n">
        <v>45747</v>
      </c>
      <c r="B32" s="7" t="s">
        <v>412</v>
      </c>
      <c r="C32" s="7" t="s">
        <v>413</v>
      </c>
      <c r="D32" s="7" t="s">
        <v>414</v>
      </c>
      <c r="E32" s="7" t="n">
        <v>2300</v>
      </c>
      <c r="F32" s="10" t="n">
        <v>0</v>
      </c>
      <c r="G32" s="10" t="n">
        <v>180000</v>
      </c>
      <c r="H32" s="6" t="str">
        <f aca="false">IF(E32="","",IFERROR(INDEX(COA!$B$4:$B$37,MATCH(E32,COA!$A$4:$A$37,0)),"INVALID CODE"))</f>
        <v>Income tax payable</v>
      </c>
      <c r="I32" s="16" t="n">
        <f aca="false">I31+F32-G32</f>
        <v>1244254</v>
      </c>
    </row>
    <row r="33" customFormat="false" ht="15" hidden="false" customHeight="false" outlineLevel="0" collapsed="false">
      <c r="A33" s="14" t="n">
        <v>45748</v>
      </c>
      <c r="B33" s="7" t="s">
        <v>415</v>
      </c>
      <c r="C33" s="7" t="s">
        <v>99</v>
      </c>
      <c r="D33" s="7" t="s">
        <v>416</v>
      </c>
      <c r="E33" s="7" t="n">
        <v>2500</v>
      </c>
      <c r="F33" s="10" t="n">
        <v>2400000</v>
      </c>
      <c r="G33" s="10" t="n">
        <v>0</v>
      </c>
      <c r="H33" s="6" t="str">
        <f aca="false">IF(E33="","",IFERROR(INDEX(COA!$B$4:$B$37,MATCH(E33,COA!$A$4:$A$37,0)),"INVALID CODE"))</f>
        <v>Bank loan</v>
      </c>
      <c r="I33" s="16" t="n">
        <f aca="false">I32+F33-G33</f>
        <v>3644254</v>
      </c>
    </row>
    <row r="34" customFormat="false" ht="15" hidden="false" customHeight="false" outlineLevel="0" collapsed="false">
      <c r="A34" s="14" t="n">
        <v>45750</v>
      </c>
      <c r="B34" s="7" t="s">
        <v>417</v>
      </c>
      <c r="C34" s="7" t="s">
        <v>228</v>
      </c>
      <c r="D34" s="7" t="s">
        <v>418</v>
      </c>
      <c r="E34" s="7" t="n">
        <v>2100</v>
      </c>
      <c r="F34" s="10" t="n">
        <v>0</v>
      </c>
      <c r="G34" s="10" t="n">
        <v>350000</v>
      </c>
      <c r="H34" s="6" t="str">
        <f aca="false">IF(E34="","",IFERROR(INDEX(COA!$B$4:$B$37,MATCH(E34,COA!$A$4:$A$37,0)),"INVALID CODE"))</f>
        <v>Trade payables</v>
      </c>
      <c r="I34" s="16" t="n">
        <f aca="false">I33+F34-G34</f>
        <v>3294254</v>
      </c>
    </row>
    <row r="35" customFormat="false" ht="15" hidden="false" customHeight="false" outlineLevel="0" collapsed="false">
      <c r="A35" s="14" t="n">
        <v>45752</v>
      </c>
      <c r="B35" s="7" t="s">
        <v>419</v>
      </c>
      <c r="C35" s="7" t="s">
        <v>420</v>
      </c>
      <c r="D35" s="7" t="s">
        <v>421</v>
      </c>
      <c r="E35" s="7" t="n">
        <v>1500</v>
      </c>
      <c r="F35" s="10" t="n">
        <v>0</v>
      </c>
      <c r="G35" s="10" t="n">
        <v>2000000</v>
      </c>
      <c r="H35" s="6" t="str">
        <f aca="false">IF(E35="","",IFERROR(INDEX(COA!$B$4:$B$37,MATCH(E35,COA!$A$4:$A$37,0)),"INVALID CODE"))</f>
        <v>Property, plant and equipment - cost</v>
      </c>
      <c r="I35" s="16" t="n">
        <f aca="false">I34+F35-G35</f>
        <v>1294254</v>
      </c>
    </row>
    <row r="36" customFormat="false" ht="15" hidden="false" customHeight="false" outlineLevel="0" collapsed="false">
      <c r="A36" s="14" t="n">
        <v>45754</v>
      </c>
      <c r="B36" s="7" t="s">
        <v>422</v>
      </c>
      <c r="C36" s="7" t="s">
        <v>178</v>
      </c>
      <c r="D36" s="7" t="s">
        <v>423</v>
      </c>
      <c r="E36" s="7" t="n">
        <v>1200</v>
      </c>
      <c r="F36" s="10" t="n">
        <v>550000</v>
      </c>
      <c r="G36" s="10" t="n">
        <v>0</v>
      </c>
      <c r="H36" s="6" t="str">
        <f aca="false">IF(E36="","",IFERROR(INDEX(COA!$B$4:$B$37,MATCH(E36,COA!$A$4:$A$37,0)),"INVALID CODE"))</f>
        <v>Trade receivables</v>
      </c>
      <c r="I36" s="16" t="n">
        <f aca="false">I35+F36-G36</f>
        <v>1844254</v>
      </c>
    </row>
    <row r="37" customFormat="false" ht="15" hidden="false" customHeight="false" outlineLevel="0" collapsed="false">
      <c r="A37" s="14" t="n">
        <v>45762</v>
      </c>
      <c r="B37" s="7" t="s">
        <v>424</v>
      </c>
      <c r="C37" s="7" t="s">
        <v>191</v>
      </c>
      <c r="D37" s="7" t="s">
        <v>425</v>
      </c>
      <c r="E37" s="7" t="n">
        <v>1200</v>
      </c>
      <c r="F37" s="10" t="n">
        <v>900000</v>
      </c>
      <c r="G37" s="10" t="n">
        <v>0</v>
      </c>
      <c r="H37" s="6" t="str">
        <f aca="false">IF(E37="","",IFERROR(INDEX(COA!$B$4:$B$37,MATCH(E37,COA!$A$4:$A$37,0)),"INVALID CODE"))</f>
        <v>Trade receivables</v>
      </c>
      <c r="I37" s="16" t="n">
        <f aca="false">I36+F37-G37</f>
        <v>2744254</v>
      </c>
    </row>
    <row r="38" customFormat="false" ht="15" hidden="false" customHeight="false" outlineLevel="0" collapsed="false">
      <c r="A38" s="14" t="n">
        <v>45762</v>
      </c>
      <c r="B38" s="7" t="s">
        <v>426</v>
      </c>
      <c r="C38" s="7" t="s">
        <v>381</v>
      </c>
      <c r="D38" s="7" t="s">
        <v>427</v>
      </c>
      <c r="E38" s="7" t="n">
        <v>2400</v>
      </c>
      <c r="F38" s="10" t="n">
        <v>0</v>
      </c>
      <c r="G38" s="10" t="n">
        <v>143854</v>
      </c>
      <c r="H38" s="6" t="str">
        <f aca="false">IF(E38="","",IFERROR(INDEX(COA!$B$4:$B$37,MATCH(E38,COA!$A$4:$A$37,0)),"INVALID CODE"))</f>
        <v>PAYE and RSSB contributions payable</v>
      </c>
      <c r="I38" s="16" t="n">
        <f aca="false">I37+F38-G38</f>
        <v>2600400</v>
      </c>
    </row>
    <row r="39" customFormat="false" ht="15" hidden="false" customHeight="false" outlineLevel="0" collapsed="false">
      <c r="A39" s="14" t="n">
        <v>45771</v>
      </c>
      <c r="B39" s="7" t="s">
        <v>428</v>
      </c>
      <c r="C39" s="7" t="s">
        <v>231</v>
      </c>
      <c r="D39" s="7" t="s">
        <v>429</v>
      </c>
      <c r="E39" s="7" t="n">
        <v>2100</v>
      </c>
      <c r="F39" s="10" t="n">
        <v>0</v>
      </c>
      <c r="G39" s="10" t="n">
        <v>60000</v>
      </c>
      <c r="H39" s="6" t="str">
        <f aca="false">IF(E39="","",IFERROR(INDEX(COA!$B$4:$B$37,MATCH(E39,COA!$A$4:$A$37,0)),"INVALID CODE"))</f>
        <v>Trade payables</v>
      </c>
      <c r="I39" s="16" t="n">
        <f aca="false">I38+F39-G39</f>
        <v>2540400</v>
      </c>
    </row>
    <row r="40" customFormat="false" ht="15" hidden="false" customHeight="false" outlineLevel="0" collapsed="false">
      <c r="A40" s="14" t="n">
        <v>45773</v>
      </c>
      <c r="B40" s="7" t="s">
        <v>430</v>
      </c>
      <c r="C40" s="7" t="s">
        <v>234</v>
      </c>
      <c r="D40" s="7" t="s">
        <v>431</v>
      </c>
      <c r="E40" s="7" t="n">
        <v>2100</v>
      </c>
      <c r="F40" s="10" t="n">
        <v>0</v>
      </c>
      <c r="G40" s="10" t="n">
        <v>80000</v>
      </c>
      <c r="H40" s="6" t="str">
        <f aca="false">IF(E40="","",IFERROR(INDEX(COA!$B$4:$B$37,MATCH(E40,COA!$A$4:$A$37,0)),"INVALID CODE"))</f>
        <v>Trade payables</v>
      </c>
      <c r="I40" s="16" t="n">
        <f aca="false">I39+F40-G40</f>
        <v>2460400</v>
      </c>
    </row>
    <row r="41" customFormat="false" ht="15" hidden="false" customHeight="false" outlineLevel="0" collapsed="false">
      <c r="A41" s="14" t="n">
        <v>45775</v>
      </c>
      <c r="B41" s="7" t="s">
        <v>432</v>
      </c>
      <c r="C41" s="7" t="s">
        <v>167</v>
      </c>
      <c r="D41" s="7" t="s">
        <v>433</v>
      </c>
      <c r="E41" s="7" t="n">
        <v>2100</v>
      </c>
      <c r="F41" s="10" t="n">
        <v>0</v>
      </c>
      <c r="G41" s="10" t="n">
        <v>400000</v>
      </c>
      <c r="H41" s="6" t="str">
        <f aca="false">IF(E41="","",IFERROR(INDEX(COA!$B$4:$B$37,MATCH(E41,COA!$A$4:$A$37,0)),"INVALID CODE"))</f>
        <v>Trade payables</v>
      </c>
      <c r="I41" s="16" t="n">
        <f aca="false">I40+F41-G41</f>
        <v>2060400</v>
      </c>
    </row>
    <row r="42" customFormat="false" ht="15" hidden="false" customHeight="false" outlineLevel="0" collapsed="false">
      <c r="A42" s="14" t="n">
        <v>45775</v>
      </c>
      <c r="B42" s="7" t="s">
        <v>434</v>
      </c>
      <c r="C42" s="7" t="s">
        <v>374</v>
      </c>
      <c r="D42" s="7" t="s">
        <v>435</v>
      </c>
      <c r="E42" s="7" t="n">
        <v>2410</v>
      </c>
      <c r="F42" s="10" t="n">
        <v>0</v>
      </c>
      <c r="G42" s="10" t="n">
        <v>289346</v>
      </c>
      <c r="H42" s="6" t="str">
        <f aca="false">IF(E42="","",IFERROR(INDEX(COA!$B$4:$B$37,MATCH(E42,COA!$A$4:$A$37,0)),"INVALID CODE"))</f>
        <v>Net salaries payable</v>
      </c>
      <c r="I42" s="16" t="n">
        <f aca="false">I41+F42-G42</f>
        <v>1771054</v>
      </c>
    </row>
    <row r="43" customFormat="false" ht="15" hidden="false" customHeight="false" outlineLevel="0" collapsed="false">
      <c r="A43" s="14" t="n">
        <v>45780</v>
      </c>
      <c r="B43" s="7" t="s">
        <v>436</v>
      </c>
      <c r="C43" s="7" t="s">
        <v>228</v>
      </c>
      <c r="D43" s="7" t="s">
        <v>437</v>
      </c>
      <c r="E43" s="7" t="n">
        <v>2100</v>
      </c>
      <c r="F43" s="10" t="n">
        <v>0</v>
      </c>
      <c r="G43" s="10" t="n">
        <v>350000</v>
      </c>
      <c r="H43" s="6" t="str">
        <f aca="false">IF(E43="","",IFERROR(INDEX(COA!$B$4:$B$37,MATCH(E43,COA!$A$4:$A$37,0)),"INVALID CODE"))</f>
        <v>Trade payables</v>
      </c>
      <c r="I43" s="16" t="n">
        <f aca="false">I42+F43-G43</f>
        <v>1421054</v>
      </c>
    </row>
    <row r="44" customFormat="false" ht="15" hidden="false" customHeight="false" outlineLevel="0" collapsed="false">
      <c r="A44" s="14" t="n">
        <v>45784</v>
      </c>
      <c r="B44" s="7" t="s">
        <v>438</v>
      </c>
      <c r="C44" s="7" t="s">
        <v>178</v>
      </c>
      <c r="D44" s="7" t="s">
        <v>439</v>
      </c>
      <c r="E44" s="7" t="n">
        <v>1200</v>
      </c>
      <c r="F44" s="10" t="n">
        <v>550000</v>
      </c>
      <c r="G44" s="10" t="n">
        <v>0</v>
      </c>
      <c r="H44" s="6" t="str">
        <f aca="false">IF(E44="","",IFERROR(INDEX(COA!$B$4:$B$37,MATCH(E44,COA!$A$4:$A$37,0)),"INVALID CODE"))</f>
        <v>Trade receivables</v>
      </c>
      <c r="I44" s="16" t="n">
        <f aca="false">I43+F44-G44</f>
        <v>1971054</v>
      </c>
    </row>
    <row r="45" customFormat="false" ht="15" hidden="false" customHeight="false" outlineLevel="0" collapsed="false">
      <c r="A45" s="14" t="n">
        <v>45792</v>
      </c>
      <c r="B45" s="7" t="s">
        <v>440</v>
      </c>
      <c r="C45" s="7" t="s">
        <v>381</v>
      </c>
      <c r="D45" s="7" t="s">
        <v>441</v>
      </c>
      <c r="E45" s="7" t="n">
        <v>2400</v>
      </c>
      <c r="F45" s="10" t="n">
        <v>0</v>
      </c>
      <c r="G45" s="10" t="n">
        <v>143854</v>
      </c>
      <c r="H45" s="6" t="str">
        <f aca="false">IF(E45="","",IFERROR(INDEX(COA!$B$4:$B$37,MATCH(E45,COA!$A$4:$A$37,0)),"INVALID CODE"))</f>
        <v>PAYE and RSSB contributions payable</v>
      </c>
      <c r="I45" s="16" t="n">
        <f aca="false">I44+F45-G45</f>
        <v>1827200</v>
      </c>
    </row>
    <row r="46" customFormat="false" ht="15" hidden="false" customHeight="false" outlineLevel="0" collapsed="false">
      <c r="A46" s="14" t="n">
        <v>45797</v>
      </c>
      <c r="B46" s="7" t="s">
        <v>442</v>
      </c>
      <c r="C46" s="7" t="s">
        <v>268</v>
      </c>
      <c r="D46" s="7" t="s">
        <v>443</v>
      </c>
      <c r="E46" s="7" t="n">
        <v>2100</v>
      </c>
      <c r="F46" s="10" t="n">
        <v>0</v>
      </c>
      <c r="G46" s="10" t="n">
        <v>150000</v>
      </c>
      <c r="H46" s="6" t="str">
        <f aca="false">IF(E46="","",IFERROR(INDEX(COA!$B$4:$B$37,MATCH(E46,COA!$A$4:$A$37,0)),"INVALID CODE"))</f>
        <v>Trade payables</v>
      </c>
      <c r="I46" s="16" t="n">
        <f aca="false">I45+F46-G46</f>
        <v>1677200</v>
      </c>
    </row>
    <row r="47" customFormat="false" ht="15" hidden="false" customHeight="false" outlineLevel="0" collapsed="false">
      <c r="A47" s="14" t="n">
        <v>45801</v>
      </c>
      <c r="B47" s="7" t="s">
        <v>444</v>
      </c>
      <c r="C47" s="7" t="s">
        <v>231</v>
      </c>
      <c r="D47" s="7" t="s">
        <v>445</v>
      </c>
      <c r="E47" s="7" t="n">
        <v>2100</v>
      </c>
      <c r="F47" s="10" t="n">
        <v>0</v>
      </c>
      <c r="G47" s="10" t="n">
        <v>60000</v>
      </c>
      <c r="H47" s="6" t="str">
        <f aca="false">IF(E47="","",IFERROR(INDEX(COA!$B$4:$B$37,MATCH(E47,COA!$A$4:$A$37,0)),"INVALID CODE"))</f>
        <v>Trade payables</v>
      </c>
      <c r="I47" s="16" t="n">
        <f aca="false">I46+F47-G47</f>
        <v>1617200</v>
      </c>
    </row>
    <row r="48" customFormat="false" ht="15" hidden="false" customHeight="false" outlineLevel="0" collapsed="false">
      <c r="A48" s="14" t="n">
        <v>45803</v>
      </c>
      <c r="B48" s="7" t="s">
        <v>446</v>
      </c>
      <c r="C48" s="7" t="s">
        <v>234</v>
      </c>
      <c r="D48" s="7" t="s">
        <v>447</v>
      </c>
      <c r="E48" s="7" t="n">
        <v>2100</v>
      </c>
      <c r="F48" s="10" t="n">
        <v>0</v>
      </c>
      <c r="G48" s="10" t="n">
        <v>80000</v>
      </c>
      <c r="H48" s="6" t="str">
        <f aca="false">IF(E48="","",IFERROR(INDEX(COA!$B$4:$B$37,MATCH(E48,COA!$A$4:$A$37,0)),"INVALID CODE"))</f>
        <v>Trade payables</v>
      </c>
      <c r="I48" s="16" t="n">
        <f aca="false">I47+F48-G48</f>
        <v>1537200</v>
      </c>
    </row>
    <row r="49" customFormat="false" ht="15" hidden="false" customHeight="false" outlineLevel="0" collapsed="false">
      <c r="A49" s="14" t="n">
        <v>45805</v>
      </c>
      <c r="B49" s="7" t="s">
        <v>448</v>
      </c>
      <c r="C49" s="7" t="s">
        <v>167</v>
      </c>
      <c r="D49" s="7" t="s">
        <v>449</v>
      </c>
      <c r="E49" s="7" t="n">
        <v>2100</v>
      </c>
      <c r="F49" s="10" t="n">
        <v>0</v>
      </c>
      <c r="G49" s="10" t="n">
        <v>400000</v>
      </c>
      <c r="H49" s="6" t="str">
        <f aca="false">IF(E49="","",IFERROR(INDEX(COA!$B$4:$B$37,MATCH(E49,COA!$A$4:$A$37,0)),"INVALID CODE"))</f>
        <v>Trade payables</v>
      </c>
      <c r="I49" s="16" t="n">
        <f aca="false">I48+F49-G49</f>
        <v>1137200</v>
      </c>
    </row>
    <row r="50" customFormat="false" ht="15" hidden="false" customHeight="false" outlineLevel="0" collapsed="false">
      <c r="A50" s="14" t="n">
        <v>45805</v>
      </c>
      <c r="B50" s="7" t="s">
        <v>450</v>
      </c>
      <c r="C50" s="7" t="s">
        <v>374</v>
      </c>
      <c r="D50" s="7" t="s">
        <v>451</v>
      </c>
      <c r="E50" s="7" t="n">
        <v>2410</v>
      </c>
      <c r="F50" s="10" t="n">
        <v>0</v>
      </c>
      <c r="G50" s="10" t="n">
        <v>289346</v>
      </c>
      <c r="H50" s="6" t="str">
        <f aca="false">IF(E50="","",IFERROR(INDEX(COA!$B$4:$B$37,MATCH(E50,COA!$A$4:$A$37,0)),"INVALID CODE"))</f>
        <v>Net salaries payable</v>
      </c>
      <c r="I50" s="16" t="n">
        <f aca="false">I49+F50-G50</f>
        <v>847854</v>
      </c>
    </row>
    <row r="51" customFormat="false" ht="15" hidden="false" customHeight="false" outlineLevel="0" collapsed="false">
      <c r="A51" s="14" t="n">
        <v>45811</v>
      </c>
      <c r="B51" s="7" t="s">
        <v>452</v>
      </c>
      <c r="C51" s="7" t="s">
        <v>228</v>
      </c>
      <c r="D51" s="7" t="s">
        <v>453</v>
      </c>
      <c r="E51" s="7" t="n">
        <v>2100</v>
      </c>
      <c r="F51" s="10" t="n">
        <v>0</v>
      </c>
      <c r="G51" s="10" t="n">
        <v>350000</v>
      </c>
      <c r="H51" s="6" t="str">
        <f aca="false">IF(E51="","",IFERROR(INDEX(COA!$B$4:$B$37,MATCH(E51,COA!$A$4:$A$37,0)),"INVALID CODE"))</f>
        <v>Trade payables</v>
      </c>
      <c r="I51" s="16" t="n">
        <f aca="false">I50+F51-G51</f>
        <v>497854</v>
      </c>
    </row>
    <row r="52" customFormat="false" ht="15" hidden="false" customHeight="false" outlineLevel="0" collapsed="false">
      <c r="A52" s="14" t="n">
        <v>45815</v>
      </c>
      <c r="B52" s="7" t="s">
        <v>454</v>
      </c>
      <c r="C52" s="7" t="s">
        <v>178</v>
      </c>
      <c r="D52" s="7" t="s">
        <v>455</v>
      </c>
      <c r="E52" s="7" t="n">
        <v>1200</v>
      </c>
      <c r="F52" s="10" t="n">
        <v>550000</v>
      </c>
      <c r="G52" s="10" t="n">
        <v>0</v>
      </c>
      <c r="H52" s="6" t="str">
        <f aca="false">IF(E52="","",IFERROR(INDEX(COA!$B$4:$B$37,MATCH(E52,COA!$A$4:$A$37,0)),"INVALID CODE"))</f>
        <v>Trade receivables</v>
      </c>
      <c r="I52" s="16" t="n">
        <f aca="false">I51+F52-G52</f>
        <v>1047854</v>
      </c>
    </row>
    <row r="53" customFormat="false" ht="15" hidden="false" customHeight="false" outlineLevel="0" collapsed="false">
      <c r="A53" s="14" t="n">
        <v>45823</v>
      </c>
      <c r="B53" s="7" t="s">
        <v>456</v>
      </c>
      <c r="C53" s="7" t="s">
        <v>381</v>
      </c>
      <c r="D53" s="7" t="s">
        <v>457</v>
      </c>
      <c r="E53" s="7" t="n">
        <v>2400</v>
      </c>
      <c r="F53" s="10" t="n">
        <v>0</v>
      </c>
      <c r="G53" s="10" t="n">
        <v>143854</v>
      </c>
      <c r="H53" s="6" t="str">
        <f aca="false">IF(E53="","",IFERROR(INDEX(COA!$B$4:$B$37,MATCH(E53,COA!$A$4:$A$37,0)),"INVALID CODE"))</f>
        <v>PAYE and RSSB contributions payable</v>
      </c>
      <c r="I53" s="16" t="n">
        <f aca="false">I52+F53-G53</f>
        <v>904000</v>
      </c>
    </row>
    <row r="54" customFormat="false" ht="15" hidden="false" customHeight="false" outlineLevel="0" collapsed="false">
      <c r="A54" s="14" t="n">
        <v>45832</v>
      </c>
      <c r="B54" s="7" t="s">
        <v>458</v>
      </c>
      <c r="C54" s="7" t="s">
        <v>231</v>
      </c>
      <c r="D54" s="7" t="s">
        <v>459</v>
      </c>
      <c r="E54" s="7" t="n">
        <v>2100</v>
      </c>
      <c r="F54" s="10" t="n">
        <v>0</v>
      </c>
      <c r="G54" s="10" t="n">
        <v>60000</v>
      </c>
      <c r="H54" s="6" t="str">
        <f aca="false">IF(E54="","",IFERROR(INDEX(COA!$B$4:$B$37,MATCH(E54,COA!$A$4:$A$37,0)),"INVALID CODE"))</f>
        <v>Trade payables</v>
      </c>
      <c r="I54" s="16" t="n">
        <f aca="false">I53+F54-G54</f>
        <v>844000</v>
      </c>
    </row>
    <row r="55" customFormat="false" ht="15" hidden="false" customHeight="false" outlineLevel="0" collapsed="false">
      <c r="A55" s="14" t="n">
        <v>45833</v>
      </c>
      <c r="B55" s="7" t="s">
        <v>460</v>
      </c>
      <c r="C55" s="7" t="s">
        <v>198</v>
      </c>
      <c r="D55" s="7" t="s">
        <v>461</v>
      </c>
      <c r="E55" s="7" t="n">
        <v>1200</v>
      </c>
      <c r="F55" s="10" t="n">
        <v>2500000</v>
      </c>
      <c r="G55" s="10" t="n">
        <v>0</v>
      </c>
      <c r="H55" s="6" t="str">
        <f aca="false">IF(E55="","",IFERROR(INDEX(COA!$B$4:$B$37,MATCH(E55,COA!$A$4:$A$37,0)),"INVALID CODE"))</f>
        <v>Trade receivables</v>
      </c>
      <c r="I55" s="16" t="n">
        <f aca="false">I54+F55-G55</f>
        <v>3344000</v>
      </c>
    </row>
    <row r="56" customFormat="false" ht="15" hidden="false" customHeight="false" outlineLevel="0" collapsed="false">
      <c r="A56" s="14" t="n">
        <v>45834</v>
      </c>
      <c r="B56" s="7" t="s">
        <v>462</v>
      </c>
      <c r="C56" s="7" t="s">
        <v>234</v>
      </c>
      <c r="D56" s="7" t="s">
        <v>463</v>
      </c>
      <c r="E56" s="7" t="n">
        <v>2100</v>
      </c>
      <c r="F56" s="10" t="n">
        <v>0</v>
      </c>
      <c r="G56" s="10" t="n">
        <v>80000</v>
      </c>
      <c r="H56" s="6" t="str">
        <f aca="false">IF(E56="","",IFERROR(INDEX(COA!$B$4:$B$37,MATCH(E56,COA!$A$4:$A$37,0)),"INVALID CODE"))</f>
        <v>Trade payables</v>
      </c>
      <c r="I56" s="16" t="n">
        <f aca="false">I55+F56-G56</f>
        <v>3264000</v>
      </c>
    </row>
    <row r="57" customFormat="false" ht="15" hidden="false" customHeight="false" outlineLevel="0" collapsed="false">
      <c r="A57" s="14" t="n">
        <v>45836</v>
      </c>
      <c r="B57" s="7" t="s">
        <v>464</v>
      </c>
      <c r="C57" s="7" t="s">
        <v>167</v>
      </c>
      <c r="D57" s="7" t="s">
        <v>465</v>
      </c>
      <c r="E57" s="7" t="n">
        <v>2100</v>
      </c>
      <c r="F57" s="10" t="n">
        <v>0</v>
      </c>
      <c r="G57" s="10" t="n">
        <v>400000</v>
      </c>
      <c r="H57" s="6" t="str">
        <f aca="false">IF(E57="","",IFERROR(INDEX(COA!$B$4:$B$37,MATCH(E57,COA!$A$4:$A$37,0)),"INVALID CODE"))</f>
        <v>Trade payables</v>
      </c>
      <c r="I57" s="16" t="n">
        <f aca="false">I56+F57-G57</f>
        <v>2864000</v>
      </c>
    </row>
    <row r="58" customFormat="false" ht="15" hidden="false" customHeight="false" outlineLevel="0" collapsed="false">
      <c r="A58" s="14" t="n">
        <v>45836</v>
      </c>
      <c r="B58" s="7" t="s">
        <v>466</v>
      </c>
      <c r="C58" s="7" t="s">
        <v>374</v>
      </c>
      <c r="D58" s="7" t="s">
        <v>467</v>
      </c>
      <c r="E58" s="7" t="n">
        <v>2410</v>
      </c>
      <c r="F58" s="10" t="n">
        <v>0</v>
      </c>
      <c r="G58" s="10" t="n">
        <v>289346</v>
      </c>
      <c r="H58" s="6" t="str">
        <f aca="false">IF(E58="","",IFERROR(INDEX(COA!$B$4:$B$37,MATCH(E58,COA!$A$4:$A$37,0)),"INVALID CODE"))</f>
        <v>Net salaries payable</v>
      </c>
      <c r="I58" s="16" t="n">
        <f aca="false">I57+F58-G58</f>
        <v>2574654</v>
      </c>
    </row>
    <row r="59" customFormat="false" ht="15" hidden="false" customHeight="false" outlineLevel="0" collapsed="false">
      <c r="A59" s="14" t="n">
        <v>45838</v>
      </c>
      <c r="B59" s="7" t="s">
        <v>468</v>
      </c>
      <c r="C59" s="7" t="s">
        <v>413</v>
      </c>
      <c r="D59" s="7" t="s">
        <v>469</v>
      </c>
      <c r="E59" s="7" t="n">
        <v>2300</v>
      </c>
      <c r="F59" s="10" t="n">
        <v>0</v>
      </c>
      <c r="G59" s="10" t="n">
        <v>45000</v>
      </c>
      <c r="H59" s="6" t="str">
        <f aca="false">IF(E59="","",IFERROR(INDEX(COA!$B$4:$B$37,MATCH(E59,COA!$A$4:$A$37,0)),"INVALID CODE"))</f>
        <v>Income tax payable</v>
      </c>
      <c r="I59" s="16" t="n">
        <f aca="false">I58+F59-G59</f>
        <v>2529654</v>
      </c>
    </row>
    <row r="60" customFormat="false" ht="15" hidden="false" customHeight="false" outlineLevel="0" collapsed="false">
      <c r="A60" s="14" t="n">
        <v>45838</v>
      </c>
      <c r="B60" s="7" t="s">
        <v>470</v>
      </c>
      <c r="C60" s="7" t="s">
        <v>99</v>
      </c>
      <c r="D60" s="7" t="s">
        <v>471</v>
      </c>
      <c r="E60" s="7" t="n">
        <v>2500</v>
      </c>
      <c r="F60" s="10" t="n">
        <v>0</v>
      </c>
      <c r="G60" s="10" t="n">
        <v>200000</v>
      </c>
      <c r="H60" s="6" t="str">
        <f aca="false">IF(E60="","",IFERROR(INDEX(COA!$B$4:$B$37,MATCH(E60,COA!$A$4:$A$37,0)),"INVALID CODE"))</f>
        <v>Bank loan</v>
      </c>
      <c r="I60" s="16" t="n">
        <f aca="false">I59+F60-G60</f>
        <v>2329654</v>
      </c>
    </row>
    <row r="61" customFormat="false" ht="15" hidden="false" customHeight="false" outlineLevel="0" collapsed="false">
      <c r="A61" s="14" t="n">
        <v>45838</v>
      </c>
      <c r="B61" s="7" t="s">
        <v>472</v>
      </c>
      <c r="C61" s="7" t="s">
        <v>99</v>
      </c>
      <c r="D61" s="7" t="s">
        <v>473</v>
      </c>
      <c r="E61" s="7" t="n">
        <v>8100</v>
      </c>
      <c r="F61" s="10" t="n">
        <v>0</v>
      </c>
      <c r="G61" s="10" t="n">
        <v>96000</v>
      </c>
      <c r="H61" s="6" t="str">
        <f aca="false">IF(E61="","",IFERROR(INDEX(COA!$B$4:$B$37,MATCH(E61,COA!$A$4:$A$37,0)),"INVALID CODE"))</f>
        <v>Interest on bank loan</v>
      </c>
      <c r="I61" s="16" t="n">
        <f aca="false">I60+F61-G61</f>
        <v>2233654</v>
      </c>
    </row>
    <row r="62" customFormat="false" ht="15" hidden="false" customHeight="false" outlineLevel="0" collapsed="false">
      <c r="A62" s="14" t="n">
        <v>45841</v>
      </c>
      <c r="B62" s="7" t="s">
        <v>474</v>
      </c>
      <c r="C62" s="7" t="s">
        <v>228</v>
      </c>
      <c r="D62" s="7" t="s">
        <v>475</v>
      </c>
      <c r="E62" s="7" t="n">
        <v>2100</v>
      </c>
      <c r="F62" s="10" t="n">
        <v>0</v>
      </c>
      <c r="G62" s="10" t="n">
        <v>350000</v>
      </c>
      <c r="H62" s="6" t="str">
        <f aca="false">IF(E62="","",IFERROR(INDEX(COA!$B$4:$B$37,MATCH(E62,COA!$A$4:$A$37,0)),"INVALID CODE"))</f>
        <v>Trade payables</v>
      </c>
      <c r="I62" s="16" t="n">
        <f aca="false">I61+F62-G62</f>
        <v>1883654</v>
      </c>
    </row>
    <row r="63" customFormat="false" ht="15" hidden="false" customHeight="false" outlineLevel="0" collapsed="false">
      <c r="A63" s="14" t="n">
        <v>45845</v>
      </c>
      <c r="B63" s="7" t="s">
        <v>476</v>
      </c>
      <c r="C63" s="7" t="s">
        <v>178</v>
      </c>
      <c r="D63" s="7" t="s">
        <v>477</v>
      </c>
      <c r="E63" s="7" t="n">
        <v>1200</v>
      </c>
      <c r="F63" s="10" t="n">
        <v>550000</v>
      </c>
      <c r="G63" s="10" t="n">
        <v>0</v>
      </c>
      <c r="H63" s="6" t="str">
        <f aca="false">IF(E63="","",IFERROR(INDEX(COA!$B$4:$B$37,MATCH(E63,COA!$A$4:$A$37,0)),"INVALID CODE"))</f>
        <v>Trade receivables</v>
      </c>
      <c r="I63" s="16" t="n">
        <f aca="false">I62+F63-G63</f>
        <v>2433654</v>
      </c>
    </row>
    <row r="64" customFormat="false" ht="15" hidden="false" customHeight="false" outlineLevel="0" collapsed="false">
      <c r="A64" s="14" t="n">
        <v>45853</v>
      </c>
      <c r="B64" s="7" t="s">
        <v>478</v>
      </c>
      <c r="C64" s="7" t="s">
        <v>381</v>
      </c>
      <c r="D64" s="7" t="s">
        <v>479</v>
      </c>
      <c r="E64" s="7" t="n">
        <v>2400</v>
      </c>
      <c r="F64" s="10" t="n">
        <v>0</v>
      </c>
      <c r="G64" s="10" t="n">
        <v>143854</v>
      </c>
      <c r="H64" s="6" t="str">
        <f aca="false">IF(E64="","",IFERROR(INDEX(COA!$B$4:$B$37,MATCH(E64,COA!$A$4:$A$37,0)),"INVALID CODE"))</f>
        <v>PAYE and RSSB contributions payable</v>
      </c>
      <c r="I64" s="16" t="n">
        <f aca="false">I63+F64-G64</f>
        <v>2289800</v>
      </c>
    </row>
    <row r="65" customFormat="false" ht="15" hidden="false" customHeight="false" outlineLevel="0" collapsed="false">
      <c r="A65" s="14" t="n">
        <v>45862</v>
      </c>
      <c r="B65" s="7" t="s">
        <v>480</v>
      </c>
      <c r="C65" s="7" t="s">
        <v>231</v>
      </c>
      <c r="D65" s="7" t="s">
        <v>481</v>
      </c>
      <c r="E65" s="7" t="n">
        <v>2100</v>
      </c>
      <c r="F65" s="10" t="n">
        <v>0</v>
      </c>
      <c r="G65" s="10" t="n">
        <v>60000</v>
      </c>
      <c r="H65" s="6" t="str">
        <f aca="false">IF(E65="","",IFERROR(INDEX(COA!$B$4:$B$37,MATCH(E65,COA!$A$4:$A$37,0)),"INVALID CODE"))</f>
        <v>Trade payables</v>
      </c>
      <c r="I65" s="16" t="n">
        <f aca="false">I64+F65-G65</f>
        <v>2229800</v>
      </c>
    </row>
    <row r="66" customFormat="false" ht="15" hidden="false" customHeight="false" outlineLevel="0" collapsed="false">
      <c r="A66" s="14" t="n">
        <v>45863</v>
      </c>
      <c r="B66" s="7" t="s">
        <v>482</v>
      </c>
      <c r="C66" s="7" t="s">
        <v>287</v>
      </c>
      <c r="D66" s="7" t="s">
        <v>483</v>
      </c>
      <c r="E66" s="7" t="n">
        <v>2100</v>
      </c>
      <c r="F66" s="10" t="n">
        <v>0</v>
      </c>
      <c r="G66" s="10" t="n">
        <v>95000</v>
      </c>
      <c r="H66" s="6" t="str">
        <f aca="false">IF(E66="","",IFERROR(INDEX(COA!$B$4:$B$37,MATCH(E66,COA!$A$4:$A$37,0)),"INVALID CODE"))</f>
        <v>Trade payables</v>
      </c>
      <c r="I66" s="16" t="n">
        <f aca="false">I65+F66-G66</f>
        <v>2134800</v>
      </c>
    </row>
    <row r="67" customFormat="false" ht="15" hidden="false" customHeight="false" outlineLevel="0" collapsed="false">
      <c r="A67" s="14" t="n">
        <v>45864</v>
      </c>
      <c r="B67" s="7" t="s">
        <v>484</v>
      </c>
      <c r="C67" s="7" t="s">
        <v>234</v>
      </c>
      <c r="D67" s="7" t="s">
        <v>485</v>
      </c>
      <c r="E67" s="7" t="n">
        <v>2100</v>
      </c>
      <c r="F67" s="10" t="n">
        <v>0</v>
      </c>
      <c r="G67" s="10" t="n">
        <v>80000</v>
      </c>
      <c r="H67" s="6" t="str">
        <f aca="false">IF(E67="","",IFERROR(INDEX(COA!$B$4:$B$37,MATCH(E67,COA!$A$4:$A$37,0)),"INVALID CODE"))</f>
        <v>Trade payables</v>
      </c>
      <c r="I67" s="16" t="n">
        <f aca="false">I66+F67-G67</f>
        <v>2054800</v>
      </c>
    </row>
    <row r="68" customFormat="false" ht="15" hidden="false" customHeight="false" outlineLevel="0" collapsed="false">
      <c r="A68" s="14" t="n">
        <v>45866</v>
      </c>
      <c r="B68" s="7" t="s">
        <v>486</v>
      </c>
      <c r="C68" s="7" t="s">
        <v>167</v>
      </c>
      <c r="D68" s="7" t="s">
        <v>487</v>
      </c>
      <c r="E68" s="7" t="n">
        <v>2100</v>
      </c>
      <c r="F68" s="10" t="n">
        <v>0</v>
      </c>
      <c r="G68" s="10" t="n">
        <v>500000</v>
      </c>
      <c r="H68" s="6" t="str">
        <f aca="false">IF(E68="","",IFERROR(INDEX(COA!$B$4:$B$37,MATCH(E68,COA!$A$4:$A$37,0)),"INVALID CODE"))</f>
        <v>Trade payables</v>
      </c>
      <c r="I68" s="16" t="n">
        <f aca="false">I67+F68-G68</f>
        <v>1554800</v>
      </c>
    </row>
    <row r="69" customFormat="false" ht="15" hidden="false" customHeight="false" outlineLevel="0" collapsed="false">
      <c r="A69" s="14" t="n">
        <v>45866</v>
      </c>
      <c r="B69" s="7" t="s">
        <v>488</v>
      </c>
      <c r="C69" s="7" t="s">
        <v>374</v>
      </c>
      <c r="D69" s="7" t="s">
        <v>489</v>
      </c>
      <c r="E69" s="7" t="n">
        <v>2410</v>
      </c>
      <c r="F69" s="10" t="n">
        <v>0</v>
      </c>
      <c r="G69" s="10" t="n">
        <v>289346</v>
      </c>
      <c r="H69" s="6" t="str">
        <f aca="false">IF(E69="","",IFERROR(INDEX(COA!$B$4:$B$37,MATCH(E69,COA!$A$4:$A$37,0)),"INVALID CODE"))</f>
        <v>Net salaries payable</v>
      </c>
      <c r="I69" s="16" t="n">
        <f aca="false">I68+F69-G69</f>
        <v>1265454</v>
      </c>
    </row>
    <row r="70" customFormat="false" ht="15" hidden="false" customHeight="false" outlineLevel="0" collapsed="false">
      <c r="A70" s="14" t="n">
        <v>45872</v>
      </c>
      <c r="B70" s="7" t="s">
        <v>490</v>
      </c>
      <c r="C70" s="7" t="s">
        <v>228</v>
      </c>
      <c r="D70" s="7" t="s">
        <v>491</v>
      </c>
      <c r="E70" s="7" t="n">
        <v>2100</v>
      </c>
      <c r="F70" s="10" t="n">
        <v>0</v>
      </c>
      <c r="G70" s="10" t="n">
        <v>350000</v>
      </c>
      <c r="H70" s="6" t="str">
        <f aca="false">IF(E70="","",IFERROR(INDEX(COA!$B$4:$B$37,MATCH(E70,COA!$A$4:$A$37,0)),"INVALID CODE"))</f>
        <v>Trade payables</v>
      </c>
      <c r="I70" s="16" t="n">
        <f aca="false">I69+F70-G70</f>
        <v>915454</v>
      </c>
    </row>
    <row r="71" customFormat="false" ht="15" hidden="false" customHeight="false" outlineLevel="0" collapsed="false">
      <c r="A71" s="14" t="n">
        <v>45876</v>
      </c>
      <c r="B71" s="7" t="s">
        <v>492</v>
      </c>
      <c r="C71" s="7" t="s">
        <v>178</v>
      </c>
      <c r="D71" s="7" t="s">
        <v>493</v>
      </c>
      <c r="E71" s="7" t="n">
        <v>1200</v>
      </c>
      <c r="F71" s="10" t="n">
        <v>550000</v>
      </c>
      <c r="G71" s="10" t="n">
        <v>0</v>
      </c>
      <c r="H71" s="6" t="str">
        <f aca="false">IF(E71="","",IFERROR(INDEX(COA!$B$4:$B$37,MATCH(E71,COA!$A$4:$A$37,0)),"INVALID CODE"))</f>
        <v>Trade receivables</v>
      </c>
      <c r="I71" s="16" t="n">
        <f aca="false">I70+F71-G71</f>
        <v>1465454</v>
      </c>
    </row>
    <row r="72" customFormat="false" ht="15" hidden="false" customHeight="false" outlineLevel="0" collapsed="false">
      <c r="A72" s="14" t="n">
        <v>45884</v>
      </c>
      <c r="B72" s="7" t="s">
        <v>494</v>
      </c>
      <c r="C72" s="7" t="s">
        <v>381</v>
      </c>
      <c r="D72" s="7" t="s">
        <v>495</v>
      </c>
      <c r="E72" s="7" t="n">
        <v>2400</v>
      </c>
      <c r="F72" s="10" t="n">
        <v>0</v>
      </c>
      <c r="G72" s="10" t="n">
        <v>143854</v>
      </c>
      <c r="H72" s="6" t="str">
        <f aca="false">IF(E72="","",IFERROR(INDEX(COA!$B$4:$B$37,MATCH(E72,COA!$A$4:$A$37,0)),"INVALID CODE"))</f>
        <v>PAYE and RSSB contributions payable</v>
      </c>
      <c r="I72" s="16" t="n">
        <f aca="false">I71+F72-G72</f>
        <v>1321600</v>
      </c>
    </row>
    <row r="73" customFormat="false" ht="15" hidden="false" customHeight="false" outlineLevel="0" collapsed="false">
      <c r="A73" s="14" t="n">
        <v>45893</v>
      </c>
      <c r="B73" s="7" t="s">
        <v>496</v>
      </c>
      <c r="C73" s="7" t="s">
        <v>231</v>
      </c>
      <c r="D73" s="7" t="s">
        <v>497</v>
      </c>
      <c r="E73" s="7" t="n">
        <v>2100</v>
      </c>
      <c r="F73" s="10" t="n">
        <v>0</v>
      </c>
      <c r="G73" s="10" t="n">
        <v>60000</v>
      </c>
      <c r="H73" s="6" t="str">
        <f aca="false">IF(E73="","",IFERROR(INDEX(COA!$B$4:$B$37,MATCH(E73,COA!$A$4:$A$37,0)),"INVALID CODE"))</f>
        <v>Trade payables</v>
      </c>
      <c r="I73" s="16" t="n">
        <f aca="false">I72+F73-G73</f>
        <v>1261600</v>
      </c>
    </row>
    <row r="74" customFormat="false" ht="15" hidden="false" customHeight="false" outlineLevel="0" collapsed="false">
      <c r="A74" s="14" t="n">
        <v>45895</v>
      </c>
      <c r="B74" s="7" t="s">
        <v>498</v>
      </c>
      <c r="C74" s="7" t="s">
        <v>198</v>
      </c>
      <c r="D74" s="7" t="s">
        <v>499</v>
      </c>
      <c r="E74" s="7" t="n">
        <v>1200</v>
      </c>
      <c r="F74" s="10" t="n">
        <v>2000000</v>
      </c>
      <c r="G74" s="10" t="n">
        <v>0</v>
      </c>
      <c r="H74" s="6" t="str">
        <f aca="false">IF(E74="","",IFERROR(INDEX(COA!$B$4:$B$37,MATCH(E74,COA!$A$4:$A$37,0)),"INVALID CODE"))</f>
        <v>Trade receivables</v>
      </c>
      <c r="I74" s="16" t="n">
        <f aca="false">I73+F74-G74</f>
        <v>3261600</v>
      </c>
    </row>
    <row r="75" customFormat="false" ht="15" hidden="false" customHeight="false" outlineLevel="0" collapsed="false">
      <c r="A75" s="14" t="n">
        <v>45895</v>
      </c>
      <c r="B75" s="7" t="s">
        <v>500</v>
      </c>
      <c r="C75" s="7" t="s">
        <v>234</v>
      </c>
      <c r="D75" s="7" t="s">
        <v>501</v>
      </c>
      <c r="E75" s="7" t="n">
        <v>2100</v>
      </c>
      <c r="F75" s="10" t="n">
        <v>0</v>
      </c>
      <c r="G75" s="10" t="n">
        <v>80000</v>
      </c>
      <c r="H75" s="6" t="str">
        <f aca="false">IF(E75="","",IFERROR(INDEX(COA!$B$4:$B$37,MATCH(E75,COA!$A$4:$A$37,0)),"INVALID CODE"))</f>
        <v>Trade payables</v>
      </c>
      <c r="I75" s="16" t="n">
        <f aca="false">I74+F75-G75</f>
        <v>3181600</v>
      </c>
    </row>
    <row r="76" customFormat="false" ht="15" hidden="false" customHeight="false" outlineLevel="0" collapsed="false">
      <c r="A76" s="14" t="n">
        <v>45897</v>
      </c>
      <c r="B76" s="7" t="s">
        <v>502</v>
      </c>
      <c r="C76" s="7" t="s">
        <v>167</v>
      </c>
      <c r="D76" s="7" t="s">
        <v>503</v>
      </c>
      <c r="E76" s="7" t="n">
        <v>2100</v>
      </c>
      <c r="F76" s="10" t="n">
        <v>0</v>
      </c>
      <c r="G76" s="10" t="n">
        <v>500000</v>
      </c>
      <c r="H76" s="6" t="str">
        <f aca="false">IF(E76="","",IFERROR(INDEX(COA!$B$4:$B$37,MATCH(E76,COA!$A$4:$A$37,0)),"INVALID CODE"))</f>
        <v>Trade payables</v>
      </c>
      <c r="I76" s="16" t="n">
        <f aca="false">I75+F76-G76</f>
        <v>2681600</v>
      </c>
    </row>
    <row r="77" customFormat="false" ht="15" hidden="false" customHeight="false" outlineLevel="0" collapsed="false">
      <c r="A77" s="14" t="n">
        <v>45897</v>
      </c>
      <c r="B77" s="7" t="s">
        <v>504</v>
      </c>
      <c r="C77" s="7" t="s">
        <v>374</v>
      </c>
      <c r="D77" s="7" t="s">
        <v>505</v>
      </c>
      <c r="E77" s="7" t="n">
        <v>2410</v>
      </c>
      <c r="F77" s="10" t="n">
        <v>0</v>
      </c>
      <c r="G77" s="10" t="n">
        <v>289346</v>
      </c>
      <c r="H77" s="6" t="str">
        <f aca="false">IF(E77="","",IFERROR(INDEX(COA!$B$4:$B$37,MATCH(E77,COA!$A$4:$A$37,0)),"INVALID CODE"))</f>
        <v>Net salaries payable</v>
      </c>
      <c r="I77" s="16" t="n">
        <f aca="false">I76+F77-G77</f>
        <v>2392254</v>
      </c>
    </row>
    <row r="78" customFormat="false" ht="15" hidden="false" customHeight="false" outlineLevel="0" collapsed="false">
      <c r="A78" s="14" t="n">
        <v>45903</v>
      </c>
      <c r="B78" s="7" t="s">
        <v>506</v>
      </c>
      <c r="C78" s="7" t="s">
        <v>228</v>
      </c>
      <c r="D78" s="7" t="s">
        <v>507</v>
      </c>
      <c r="E78" s="7" t="n">
        <v>2100</v>
      </c>
      <c r="F78" s="10" t="n">
        <v>0</v>
      </c>
      <c r="G78" s="10" t="n">
        <v>350000</v>
      </c>
      <c r="H78" s="6" t="str">
        <f aca="false">IF(E78="","",IFERROR(INDEX(COA!$B$4:$B$37,MATCH(E78,COA!$A$4:$A$37,0)),"INVALID CODE"))</f>
        <v>Trade payables</v>
      </c>
      <c r="I78" s="16" t="n">
        <f aca="false">I77+F78-G78</f>
        <v>2042254</v>
      </c>
    </row>
    <row r="79" customFormat="false" ht="15" hidden="false" customHeight="false" outlineLevel="0" collapsed="false">
      <c r="A79" s="14" t="n">
        <v>45907</v>
      </c>
      <c r="B79" s="7" t="s">
        <v>508</v>
      </c>
      <c r="C79" s="7" t="s">
        <v>178</v>
      </c>
      <c r="D79" s="7" t="s">
        <v>509</v>
      </c>
      <c r="E79" s="7" t="n">
        <v>1200</v>
      </c>
      <c r="F79" s="10" t="n">
        <v>550000</v>
      </c>
      <c r="G79" s="10" t="n">
        <v>0</v>
      </c>
      <c r="H79" s="6" t="str">
        <f aca="false">IF(E79="","",IFERROR(INDEX(COA!$B$4:$B$37,MATCH(E79,COA!$A$4:$A$37,0)),"INVALID CODE"))</f>
        <v>Trade receivables</v>
      </c>
      <c r="I79" s="16" t="n">
        <f aca="false">I78+F79-G79</f>
        <v>2592254</v>
      </c>
    </row>
    <row r="80" customFormat="false" ht="15" hidden="false" customHeight="false" outlineLevel="0" collapsed="false">
      <c r="A80" s="14" t="n">
        <v>45915</v>
      </c>
      <c r="B80" s="7" t="s">
        <v>510</v>
      </c>
      <c r="C80" s="7" t="s">
        <v>381</v>
      </c>
      <c r="D80" s="7" t="s">
        <v>511</v>
      </c>
      <c r="E80" s="7" t="n">
        <v>2400</v>
      </c>
      <c r="F80" s="10" t="n">
        <v>0</v>
      </c>
      <c r="G80" s="10" t="n">
        <v>143854</v>
      </c>
      <c r="H80" s="6" t="str">
        <f aca="false">IF(E80="","",IFERROR(INDEX(COA!$B$4:$B$37,MATCH(E80,COA!$A$4:$A$37,0)),"INVALID CODE"))</f>
        <v>PAYE and RSSB contributions payable</v>
      </c>
      <c r="I80" s="16" t="n">
        <f aca="false">I79+F80-G80</f>
        <v>2448400</v>
      </c>
    </row>
    <row r="81" customFormat="false" ht="15" hidden="false" customHeight="false" outlineLevel="0" collapsed="false">
      <c r="A81" s="14" t="n">
        <v>45916</v>
      </c>
      <c r="B81" s="7" t="s">
        <v>512</v>
      </c>
      <c r="C81" s="7" t="s">
        <v>191</v>
      </c>
      <c r="D81" s="7" t="s">
        <v>513</v>
      </c>
      <c r="E81" s="7" t="n">
        <v>1200</v>
      </c>
      <c r="F81" s="10" t="n">
        <v>1050000</v>
      </c>
      <c r="G81" s="10" t="n">
        <v>0</v>
      </c>
      <c r="H81" s="6" t="str">
        <f aca="false">IF(E81="","",IFERROR(INDEX(COA!$B$4:$B$37,MATCH(E81,COA!$A$4:$A$37,0)),"INVALID CODE"))</f>
        <v>Trade receivables</v>
      </c>
      <c r="I81" s="16" t="n">
        <f aca="false">I80+F81-G81</f>
        <v>3498400</v>
      </c>
    </row>
    <row r="82" customFormat="false" ht="15" hidden="false" customHeight="false" outlineLevel="0" collapsed="false">
      <c r="A82" s="14" t="n">
        <v>45924</v>
      </c>
      <c r="B82" s="7" t="s">
        <v>514</v>
      </c>
      <c r="C82" s="7" t="s">
        <v>231</v>
      </c>
      <c r="D82" s="7" t="s">
        <v>515</v>
      </c>
      <c r="E82" s="7" t="n">
        <v>2100</v>
      </c>
      <c r="F82" s="10" t="n">
        <v>0</v>
      </c>
      <c r="G82" s="10" t="n">
        <v>60000</v>
      </c>
      <c r="H82" s="6" t="str">
        <f aca="false">IF(E82="","",IFERROR(INDEX(COA!$B$4:$B$37,MATCH(E82,COA!$A$4:$A$37,0)),"INVALID CODE"))</f>
        <v>Trade payables</v>
      </c>
      <c r="I82" s="16" t="n">
        <f aca="false">I81+F82-G82</f>
        <v>3438400</v>
      </c>
    </row>
    <row r="83" customFormat="false" ht="15" hidden="false" customHeight="false" outlineLevel="0" collapsed="false">
      <c r="A83" s="14" t="n">
        <v>45926</v>
      </c>
      <c r="B83" s="7" t="s">
        <v>516</v>
      </c>
      <c r="C83" s="7" t="s">
        <v>234</v>
      </c>
      <c r="D83" s="7" t="s">
        <v>517</v>
      </c>
      <c r="E83" s="7" t="n">
        <v>2100</v>
      </c>
      <c r="F83" s="10" t="n">
        <v>0</v>
      </c>
      <c r="G83" s="10" t="n">
        <v>80000</v>
      </c>
      <c r="H83" s="6" t="str">
        <f aca="false">IF(E83="","",IFERROR(INDEX(COA!$B$4:$B$37,MATCH(E83,COA!$A$4:$A$37,0)),"INVALID CODE"))</f>
        <v>Trade payables</v>
      </c>
      <c r="I83" s="16" t="n">
        <f aca="false">I82+F83-G83</f>
        <v>3358400</v>
      </c>
    </row>
    <row r="84" customFormat="false" ht="15" hidden="false" customHeight="false" outlineLevel="0" collapsed="false">
      <c r="A84" s="14" t="n">
        <v>45928</v>
      </c>
      <c r="B84" s="7" t="s">
        <v>518</v>
      </c>
      <c r="C84" s="7" t="s">
        <v>167</v>
      </c>
      <c r="D84" s="7" t="s">
        <v>519</v>
      </c>
      <c r="E84" s="7" t="n">
        <v>2100</v>
      </c>
      <c r="F84" s="10" t="n">
        <v>0</v>
      </c>
      <c r="G84" s="10" t="n">
        <v>500000</v>
      </c>
      <c r="H84" s="6" t="str">
        <f aca="false">IF(E84="","",IFERROR(INDEX(COA!$B$4:$B$37,MATCH(E84,COA!$A$4:$A$37,0)),"INVALID CODE"))</f>
        <v>Trade payables</v>
      </c>
      <c r="I84" s="16" t="n">
        <f aca="false">I83+F84-G84</f>
        <v>2858400</v>
      </c>
    </row>
    <row r="85" customFormat="false" ht="15" hidden="false" customHeight="false" outlineLevel="0" collapsed="false">
      <c r="A85" s="14" t="n">
        <v>45928</v>
      </c>
      <c r="B85" s="7" t="s">
        <v>520</v>
      </c>
      <c r="C85" s="7" t="s">
        <v>374</v>
      </c>
      <c r="D85" s="7" t="s">
        <v>521</v>
      </c>
      <c r="E85" s="7" t="n">
        <v>2410</v>
      </c>
      <c r="F85" s="10" t="n">
        <v>0</v>
      </c>
      <c r="G85" s="10" t="n">
        <v>289346</v>
      </c>
      <c r="H85" s="6" t="str">
        <f aca="false">IF(E85="","",IFERROR(INDEX(COA!$B$4:$B$37,MATCH(E85,COA!$A$4:$A$37,0)),"INVALID CODE"))</f>
        <v>Net salaries payable</v>
      </c>
      <c r="I85" s="16" t="n">
        <f aca="false">I84+F85-G85</f>
        <v>2569054</v>
      </c>
    </row>
    <row r="86" customFormat="false" ht="15" hidden="false" customHeight="false" outlineLevel="0" collapsed="false">
      <c r="A86" s="14" t="n">
        <v>45930</v>
      </c>
      <c r="B86" s="7" t="s">
        <v>522</v>
      </c>
      <c r="C86" s="7" t="s">
        <v>413</v>
      </c>
      <c r="D86" s="7" t="s">
        <v>469</v>
      </c>
      <c r="E86" s="7" t="n">
        <v>2300</v>
      </c>
      <c r="F86" s="10" t="n">
        <v>0</v>
      </c>
      <c r="G86" s="10" t="n">
        <v>45000</v>
      </c>
      <c r="H86" s="6" t="str">
        <f aca="false">IF(E86="","",IFERROR(INDEX(COA!$B$4:$B$37,MATCH(E86,COA!$A$4:$A$37,0)),"INVALID CODE"))</f>
        <v>Income tax payable</v>
      </c>
      <c r="I86" s="16" t="n">
        <f aca="false">I85+F86-G86</f>
        <v>2524054</v>
      </c>
    </row>
    <row r="87" customFormat="false" ht="15" hidden="false" customHeight="false" outlineLevel="0" collapsed="false">
      <c r="A87" s="14" t="n">
        <v>45930</v>
      </c>
      <c r="B87" s="7" t="s">
        <v>523</v>
      </c>
      <c r="C87" s="7" t="s">
        <v>524</v>
      </c>
      <c r="D87" s="7" t="s">
        <v>525</v>
      </c>
      <c r="E87" s="7" t="n">
        <v>3200</v>
      </c>
      <c r="F87" s="10" t="n">
        <v>0</v>
      </c>
      <c r="G87" s="10" t="n">
        <v>400000</v>
      </c>
      <c r="H87" s="6" t="str">
        <f aca="false">IF(E87="","",IFERROR(INDEX(COA!$B$4:$B$37,MATCH(E87,COA!$A$4:$A$37,0)),"INVALID CODE"))</f>
        <v>Dividends</v>
      </c>
      <c r="I87" s="16" t="n">
        <f aca="false">I86+F87-G87</f>
        <v>2124054</v>
      </c>
    </row>
    <row r="88" customFormat="false" ht="15" hidden="false" customHeight="false" outlineLevel="0" collapsed="false">
      <c r="A88" s="14" t="n">
        <v>45930</v>
      </c>
      <c r="B88" s="7" t="s">
        <v>526</v>
      </c>
      <c r="C88" s="7" t="s">
        <v>99</v>
      </c>
      <c r="D88" s="7" t="s">
        <v>471</v>
      </c>
      <c r="E88" s="7" t="n">
        <v>2500</v>
      </c>
      <c r="F88" s="10" t="n">
        <v>0</v>
      </c>
      <c r="G88" s="10" t="n">
        <v>200000</v>
      </c>
      <c r="H88" s="6" t="str">
        <f aca="false">IF(E88="","",IFERROR(INDEX(COA!$B$4:$B$37,MATCH(E88,COA!$A$4:$A$37,0)),"INVALID CODE"))</f>
        <v>Bank loan</v>
      </c>
      <c r="I88" s="16" t="n">
        <f aca="false">I87+F88-G88</f>
        <v>1924054</v>
      </c>
    </row>
    <row r="89" customFormat="false" ht="15" hidden="false" customHeight="false" outlineLevel="0" collapsed="false">
      <c r="A89" s="14" t="n">
        <v>45930</v>
      </c>
      <c r="B89" s="7" t="s">
        <v>527</v>
      </c>
      <c r="C89" s="7" t="s">
        <v>99</v>
      </c>
      <c r="D89" s="7" t="s">
        <v>473</v>
      </c>
      <c r="E89" s="7" t="n">
        <v>8100</v>
      </c>
      <c r="F89" s="10" t="n">
        <v>0</v>
      </c>
      <c r="G89" s="10" t="n">
        <v>88000</v>
      </c>
      <c r="H89" s="6" t="str">
        <f aca="false">IF(E89="","",IFERROR(INDEX(COA!$B$4:$B$37,MATCH(E89,COA!$A$4:$A$37,0)),"INVALID CODE"))</f>
        <v>Interest on bank loan</v>
      </c>
      <c r="I89" s="16" t="n">
        <f aca="false">I88+F89-G89</f>
        <v>1836054</v>
      </c>
    </row>
    <row r="90" customFormat="false" ht="15" hidden="false" customHeight="false" outlineLevel="0" collapsed="false">
      <c r="A90" s="14" t="n">
        <v>45933</v>
      </c>
      <c r="B90" s="7" t="s">
        <v>528</v>
      </c>
      <c r="C90" s="7" t="s">
        <v>228</v>
      </c>
      <c r="D90" s="7" t="s">
        <v>529</v>
      </c>
      <c r="E90" s="7" t="n">
        <v>2100</v>
      </c>
      <c r="F90" s="10" t="n">
        <v>0</v>
      </c>
      <c r="G90" s="10" t="n">
        <v>350000</v>
      </c>
      <c r="H90" s="6" t="str">
        <f aca="false">IF(E90="","",IFERROR(INDEX(COA!$B$4:$B$37,MATCH(E90,COA!$A$4:$A$37,0)),"INVALID CODE"))</f>
        <v>Trade payables</v>
      </c>
      <c r="I90" s="16" t="n">
        <f aca="false">I89+F90-G90</f>
        <v>1486054</v>
      </c>
    </row>
    <row r="91" customFormat="false" ht="15" hidden="false" customHeight="false" outlineLevel="0" collapsed="false">
      <c r="A91" s="14" t="n">
        <v>45937</v>
      </c>
      <c r="B91" s="7" t="s">
        <v>530</v>
      </c>
      <c r="C91" s="7" t="s">
        <v>178</v>
      </c>
      <c r="D91" s="7" t="s">
        <v>531</v>
      </c>
      <c r="E91" s="7" t="n">
        <v>1200</v>
      </c>
      <c r="F91" s="10" t="n">
        <v>550000</v>
      </c>
      <c r="G91" s="10" t="n">
        <v>0</v>
      </c>
      <c r="H91" s="6" t="str">
        <f aca="false">IF(E91="","",IFERROR(INDEX(COA!$B$4:$B$37,MATCH(E91,COA!$A$4:$A$37,0)),"INVALID CODE"))</f>
        <v>Trade receivables</v>
      </c>
      <c r="I91" s="16" t="n">
        <f aca="false">I90+F91-G91</f>
        <v>2036054</v>
      </c>
    </row>
    <row r="92" customFormat="false" ht="15" hidden="false" customHeight="false" outlineLevel="0" collapsed="false">
      <c r="A92" s="14" t="n">
        <v>45945</v>
      </c>
      <c r="B92" s="7" t="s">
        <v>532</v>
      </c>
      <c r="C92" s="7" t="s">
        <v>381</v>
      </c>
      <c r="D92" s="7" t="s">
        <v>533</v>
      </c>
      <c r="E92" s="7" t="n">
        <v>2400</v>
      </c>
      <c r="F92" s="10" t="n">
        <v>0</v>
      </c>
      <c r="G92" s="10" t="n">
        <v>143854</v>
      </c>
      <c r="H92" s="6" t="str">
        <f aca="false">IF(E92="","",IFERROR(INDEX(COA!$B$4:$B$37,MATCH(E92,COA!$A$4:$A$37,0)),"INVALID CODE"))</f>
        <v>PAYE and RSSB contributions payable</v>
      </c>
      <c r="I92" s="16" t="n">
        <f aca="false">I91+F92-G92</f>
        <v>1892200</v>
      </c>
    </row>
    <row r="93" customFormat="false" ht="15" hidden="false" customHeight="false" outlineLevel="0" collapsed="false">
      <c r="A93" s="14" t="n">
        <v>45950</v>
      </c>
      <c r="B93" s="7" t="s">
        <v>534</v>
      </c>
      <c r="C93" s="7" t="s">
        <v>363</v>
      </c>
      <c r="D93" s="7" t="s">
        <v>535</v>
      </c>
      <c r="E93" s="7" t="n">
        <v>1500</v>
      </c>
      <c r="F93" s="10" t="n">
        <v>0</v>
      </c>
      <c r="G93" s="10" t="n">
        <v>280000</v>
      </c>
      <c r="H93" s="6" t="str">
        <f aca="false">IF(E93="","",IFERROR(INDEX(COA!$B$4:$B$37,MATCH(E93,COA!$A$4:$A$37,0)),"INVALID CODE"))</f>
        <v>Property, plant and equipment - cost</v>
      </c>
      <c r="I93" s="16" t="n">
        <f aca="false">I92+F93-G93</f>
        <v>1612200</v>
      </c>
    </row>
    <row r="94" customFormat="false" ht="15" hidden="false" customHeight="false" outlineLevel="0" collapsed="false">
      <c r="A94" s="14" t="n">
        <v>45954</v>
      </c>
      <c r="B94" s="7" t="s">
        <v>536</v>
      </c>
      <c r="C94" s="7" t="s">
        <v>231</v>
      </c>
      <c r="D94" s="7" t="s">
        <v>537</v>
      </c>
      <c r="E94" s="7" t="n">
        <v>2100</v>
      </c>
      <c r="F94" s="10" t="n">
        <v>0</v>
      </c>
      <c r="G94" s="10" t="n">
        <v>60000</v>
      </c>
      <c r="H94" s="6" t="str">
        <f aca="false">IF(E94="","",IFERROR(INDEX(COA!$B$4:$B$37,MATCH(E94,COA!$A$4:$A$37,0)),"INVALID CODE"))</f>
        <v>Trade payables</v>
      </c>
      <c r="I94" s="16" t="n">
        <f aca="false">I93+F94-G94</f>
        <v>1552200</v>
      </c>
    </row>
    <row r="95" customFormat="false" ht="15" hidden="false" customHeight="false" outlineLevel="0" collapsed="false">
      <c r="A95" s="14" t="n">
        <v>45956</v>
      </c>
      <c r="B95" s="7" t="s">
        <v>538</v>
      </c>
      <c r="C95" s="7" t="s">
        <v>234</v>
      </c>
      <c r="D95" s="7" t="s">
        <v>539</v>
      </c>
      <c r="E95" s="7" t="n">
        <v>2100</v>
      </c>
      <c r="F95" s="10" t="n">
        <v>0</v>
      </c>
      <c r="G95" s="10" t="n">
        <v>80000</v>
      </c>
      <c r="H95" s="6" t="str">
        <f aca="false">IF(E95="","",IFERROR(INDEX(COA!$B$4:$B$37,MATCH(E95,COA!$A$4:$A$37,0)),"INVALID CODE"))</f>
        <v>Trade payables</v>
      </c>
      <c r="I95" s="16" t="n">
        <f aca="false">I94+F95-G95</f>
        <v>1472200</v>
      </c>
    </row>
    <row r="96" customFormat="false" ht="15" hidden="false" customHeight="false" outlineLevel="0" collapsed="false">
      <c r="A96" s="14" t="n">
        <v>45958</v>
      </c>
      <c r="B96" s="7" t="s">
        <v>540</v>
      </c>
      <c r="C96" s="7" t="s">
        <v>167</v>
      </c>
      <c r="D96" s="7" t="s">
        <v>541</v>
      </c>
      <c r="E96" s="7" t="n">
        <v>2100</v>
      </c>
      <c r="F96" s="10" t="n">
        <v>0</v>
      </c>
      <c r="G96" s="10" t="n">
        <v>500000</v>
      </c>
      <c r="H96" s="6" t="str">
        <f aca="false">IF(E96="","",IFERROR(INDEX(COA!$B$4:$B$37,MATCH(E96,COA!$A$4:$A$37,0)),"INVALID CODE"))</f>
        <v>Trade payables</v>
      </c>
      <c r="I96" s="16" t="n">
        <f aca="false">I95+F96-G96</f>
        <v>972200</v>
      </c>
    </row>
    <row r="97" customFormat="false" ht="15" hidden="false" customHeight="false" outlineLevel="0" collapsed="false">
      <c r="A97" s="14" t="n">
        <v>45958</v>
      </c>
      <c r="B97" s="7" t="s">
        <v>542</v>
      </c>
      <c r="C97" s="7" t="s">
        <v>374</v>
      </c>
      <c r="D97" s="7" t="s">
        <v>543</v>
      </c>
      <c r="E97" s="7" t="n">
        <v>2410</v>
      </c>
      <c r="F97" s="10" t="n">
        <v>0</v>
      </c>
      <c r="G97" s="10" t="n">
        <v>289346</v>
      </c>
      <c r="H97" s="6" t="str">
        <f aca="false">IF(E97="","",IFERROR(INDEX(COA!$B$4:$B$37,MATCH(E97,COA!$A$4:$A$37,0)),"INVALID CODE"))</f>
        <v>Net salaries payable</v>
      </c>
      <c r="I97" s="16" t="n">
        <f aca="false">I96+F97-G97</f>
        <v>682854</v>
      </c>
    </row>
    <row r="98" customFormat="false" ht="15" hidden="false" customHeight="false" outlineLevel="0" collapsed="false">
      <c r="A98" s="14" t="n">
        <v>45964</v>
      </c>
      <c r="B98" s="7" t="s">
        <v>544</v>
      </c>
      <c r="C98" s="7" t="s">
        <v>228</v>
      </c>
      <c r="D98" s="7" t="s">
        <v>545</v>
      </c>
      <c r="E98" s="7" t="n">
        <v>2100</v>
      </c>
      <c r="F98" s="10" t="n">
        <v>0</v>
      </c>
      <c r="G98" s="10" t="n">
        <v>350000</v>
      </c>
      <c r="H98" s="6" t="str">
        <f aca="false">IF(E98="","",IFERROR(INDEX(COA!$B$4:$B$37,MATCH(E98,COA!$A$4:$A$37,0)),"INVALID CODE"))</f>
        <v>Trade payables</v>
      </c>
      <c r="I98" s="16" t="n">
        <f aca="false">I97+F98-G98</f>
        <v>332854</v>
      </c>
    </row>
    <row r="99" customFormat="false" ht="15" hidden="false" customHeight="false" outlineLevel="0" collapsed="false">
      <c r="A99" s="14" t="n">
        <v>45968</v>
      </c>
      <c r="B99" s="7" t="s">
        <v>546</v>
      </c>
      <c r="C99" s="7" t="s">
        <v>178</v>
      </c>
      <c r="D99" s="7" t="s">
        <v>547</v>
      </c>
      <c r="E99" s="7" t="n">
        <v>1200</v>
      </c>
      <c r="F99" s="10" t="n">
        <v>550000</v>
      </c>
      <c r="G99" s="10" t="n">
        <v>0</v>
      </c>
      <c r="H99" s="6" t="str">
        <f aca="false">IF(E99="","",IFERROR(INDEX(COA!$B$4:$B$37,MATCH(E99,COA!$A$4:$A$37,0)),"INVALID CODE"))</f>
        <v>Trade receivables</v>
      </c>
      <c r="I99" s="16" t="n">
        <f aca="false">I98+F99-G99</f>
        <v>882854</v>
      </c>
    </row>
    <row r="100" customFormat="false" ht="15" hidden="false" customHeight="false" outlineLevel="0" collapsed="false">
      <c r="A100" s="14" t="n">
        <v>45976</v>
      </c>
      <c r="B100" s="7" t="s">
        <v>548</v>
      </c>
      <c r="C100" s="7" t="s">
        <v>213</v>
      </c>
      <c r="D100" s="7" t="s">
        <v>549</v>
      </c>
      <c r="E100" s="7" t="n">
        <v>1200</v>
      </c>
      <c r="F100" s="10" t="n">
        <v>1800000</v>
      </c>
      <c r="G100" s="10" t="n">
        <v>0</v>
      </c>
      <c r="H100" s="6" t="str">
        <f aca="false">IF(E100="","",IFERROR(INDEX(COA!$B$4:$B$37,MATCH(E100,COA!$A$4:$A$37,0)),"INVALID CODE"))</f>
        <v>Trade receivables</v>
      </c>
      <c r="I100" s="16" t="n">
        <f aca="false">I99+F100-G100</f>
        <v>2682854</v>
      </c>
    </row>
    <row r="101" customFormat="false" ht="15" hidden="false" customHeight="false" outlineLevel="0" collapsed="false">
      <c r="A101" s="14" t="n">
        <v>45976</v>
      </c>
      <c r="B101" s="7" t="s">
        <v>550</v>
      </c>
      <c r="C101" s="7" t="s">
        <v>381</v>
      </c>
      <c r="D101" s="7" t="s">
        <v>551</v>
      </c>
      <c r="E101" s="7" t="n">
        <v>2400</v>
      </c>
      <c r="F101" s="10" t="n">
        <v>0</v>
      </c>
      <c r="G101" s="10" t="n">
        <v>143854</v>
      </c>
      <c r="H101" s="6" t="str">
        <f aca="false">IF(E101="","",IFERROR(INDEX(COA!$B$4:$B$37,MATCH(E101,COA!$A$4:$A$37,0)),"INVALID CODE"))</f>
        <v>PAYE and RSSB contributions payable</v>
      </c>
      <c r="I101" s="16" t="n">
        <f aca="false">I100+F101-G101</f>
        <v>2539000</v>
      </c>
    </row>
    <row r="102" customFormat="false" ht="15" hidden="false" customHeight="false" outlineLevel="0" collapsed="false">
      <c r="A102" s="14" t="n">
        <v>45985</v>
      </c>
      <c r="B102" s="7" t="s">
        <v>552</v>
      </c>
      <c r="C102" s="7" t="s">
        <v>231</v>
      </c>
      <c r="D102" s="7" t="s">
        <v>553</v>
      </c>
      <c r="E102" s="7" t="n">
        <v>2100</v>
      </c>
      <c r="F102" s="10" t="n">
        <v>0</v>
      </c>
      <c r="G102" s="10" t="n">
        <v>60000</v>
      </c>
      <c r="H102" s="6" t="str">
        <f aca="false">IF(E102="","",IFERROR(INDEX(COA!$B$4:$B$37,MATCH(E102,COA!$A$4:$A$37,0)),"INVALID CODE"))</f>
        <v>Trade payables</v>
      </c>
      <c r="I102" s="16" t="n">
        <f aca="false">I101+F102-G102</f>
        <v>2479000</v>
      </c>
    </row>
    <row r="103" customFormat="false" ht="15" hidden="false" customHeight="false" outlineLevel="0" collapsed="false">
      <c r="A103" s="14" t="n">
        <v>45987</v>
      </c>
      <c r="B103" s="7" t="s">
        <v>554</v>
      </c>
      <c r="C103" s="7" t="s">
        <v>234</v>
      </c>
      <c r="D103" s="7" t="s">
        <v>555</v>
      </c>
      <c r="E103" s="7" t="n">
        <v>2100</v>
      </c>
      <c r="F103" s="10" t="n">
        <v>0</v>
      </c>
      <c r="G103" s="10" t="n">
        <v>80000</v>
      </c>
      <c r="H103" s="6" t="str">
        <f aca="false">IF(E103="","",IFERROR(INDEX(COA!$B$4:$B$37,MATCH(E103,COA!$A$4:$A$37,0)),"INVALID CODE"))</f>
        <v>Trade payables</v>
      </c>
      <c r="I103" s="16" t="n">
        <f aca="false">I102+F103-G103</f>
        <v>2399000</v>
      </c>
    </row>
    <row r="104" customFormat="false" ht="15" hidden="false" customHeight="false" outlineLevel="0" collapsed="false">
      <c r="A104" s="14" t="n">
        <v>45989</v>
      </c>
      <c r="B104" s="7" t="s">
        <v>556</v>
      </c>
      <c r="C104" s="7" t="s">
        <v>167</v>
      </c>
      <c r="D104" s="7" t="s">
        <v>557</v>
      </c>
      <c r="E104" s="7" t="n">
        <v>2100</v>
      </c>
      <c r="F104" s="10" t="n">
        <v>0</v>
      </c>
      <c r="G104" s="10" t="n">
        <v>500000</v>
      </c>
      <c r="H104" s="6" t="str">
        <f aca="false">IF(E104="","",IFERROR(INDEX(COA!$B$4:$B$37,MATCH(E104,COA!$A$4:$A$37,0)),"INVALID CODE"))</f>
        <v>Trade payables</v>
      </c>
      <c r="I104" s="16" t="n">
        <f aca="false">I103+F104-G104</f>
        <v>1899000</v>
      </c>
    </row>
    <row r="105" customFormat="false" ht="15" hidden="false" customHeight="false" outlineLevel="0" collapsed="false">
      <c r="A105" s="14" t="n">
        <v>45989</v>
      </c>
      <c r="B105" s="7" t="s">
        <v>558</v>
      </c>
      <c r="C105" s="7" t="s">
        <v>374</v>
      </c>
      <c r="D105" s="7" t="s">
        <v>559</v>
      </c>
      <c r="E105" s="7" t="n">
        <v>2410</v>
      </c>
      <c r="F105" s="10" t="n">
        <v>0</v>
      </c>
      <c r="G105" s="10" t="n">
        <v>289346</v>
      </c>
      <c r="H105" s="6" t="str">
        <f aca="false">IF(E105="","",IFERROR(INDEX(COA!$B$4:$B$37,MATCH(E105,COA!$A$4:$A$37,0)),"INVALID CODE"))</f>
        <v>Net salaries payable</v>
      </c>
      <c r="I105" s="16" t="n">
        <f aca="false">I104+F105-G105</f>
        <v>1609654</v>
      </c>
    </row>
    <row r="106" customFormat="false" ht="15" hidden="false" customHeight="false" outlineLevel="0" collapsed="false">
      <c r="A106" s="14" t="n">
        <v>45994</v>
      </c>
      <c r="B106" s="7" t="s">
        <v>560</v>
      </c>
      <c r="C106" s="7" t="s">
        <v>228</v>
      </c>
      <c r="D106" s="7" t="s">
        <v>561</v>
      </c>
      <c r="E106" s="7" t="n">
        <v>2100</v>
      </c>
      <c r="F106" s="10" t="n">
        <v>0</v>
      </c>
      <c r="G106" s="10" t="n">
        <v>350000</v>
      </c>
      <c r="H106" s="6" t="str">
        <f aca="false">IF(E106="","",IFERROR(INDEX(COA!$B$4:$B$37,MATCH(E106,COA!$A$4:$A$37,0)),"INVALID CODE"))</f>
        <v>Trade payables</v>
      </c>
      <c r="I106" s="16" t="n">
        <f aca="false">I105+F106-G106</f>
        <v>1259654</v>
      </c>
    </row>
    <row r="107" customFormat="false" ht="15" hidden="false" customHeight="false" outlineLevel="0" collapsed="false">
      <c r="A107" s="14" t="n">
        <v>46006</v>
      </c>
      <c r="B107" s="7" t="s">
        <v>562</v>
      </c>
      <c r="C107" s="7" t="s">
        <v>381</v>
      </c>
      <c r="D107" s="7" t="s">
        <v>563</v>
      </c>
      <c r="E107" s="7" t="n">
        <v>2400</v>
      </c>
      <c r="F107" s="10" t="n">
        <v>0</v>
      </c>
      <c r="G107" s="10" t="n">
        <v>143854</v>
      </c>
      <c r="H107" s="6" t="str">
        <f aca="false">IF(E107="","",IFERROR(INDEX(COA!$B$4:$B$37,MATCH(E107,COA!$A$4:$A$37,0)),"INVALID CODE"))</f>
        <v>PAYE and RSSB contributions payable</v>
      </c>
      <c r="I107" s="16" t="n">
        <f aca="false">I106+F107-G107</f>
        <v>1115800</v>
      </c>
    </row>
    <row r="108" customFormat="false" ht="15" hidden="false" customHeight="false" outlineLevel="0" collapsed="false">
      <c r="A108" s="14" t="n">
        <v>46011</v>
      </c>
      <c r="B108" s="7" t="s">
        <v>564</v>
      </c>
      <c r="C108" s="7" t="s">
        <v>191</v>
      </c>
      <c r="D108" s="7" t="s">
        <v>565</v>
      </c>
      <c r="E108" s="7" t="n">
        <v>1200</v>
      </c>
      <c r="F108" s="10" t="n">
        <v>1100000</v>
      </c>
      <c r="G108" s="10" t="n">
        <v>0</v>
      </c>
      <c r="H108" s="6" t="str">
        <f aca="false">IF(E108="","",IFERROR(INDEX(COA!$B$4:$B$37,MATCH(E108,COA!$A$4:$A$37,0)),"INVALID CODE"))</f>
        <v>Trade receivables</v>
      </c>
      <c r="I108" s="16" t="n">
        <f aca="false">I107+F108-G108</f>
        <v>2215800</v>
      </c>
    </row>
    <row r="109" customFormat="false" ht="15" hidden="false" customHeight="false" outlineLevel="0" collapsed="false">
      <c r="A109" s="14" t="n">
        <v>46015</v>
      </c>
      <c r="B109" s="7" t="s">
        <v>566</v>
      </c>
      <c r="C109" s="7" t="s">
        <v>231</v>
      </c>
      <c r="D109" s="7" t="s">
        <v>567</v>
      </c>
      <c r="E109" s="7" t="n">
        <v>2100</v>
      </c>
      <c r="F109" s="10" t="n">
        <v>0</v>
      </c>
      <c r="G109" s="10" t="n">
        <v>60000</v>
      </c>
      <c r="H109" s="6" t="str">
        <f aca="false">IF(E109="","",IFERROR(INDEX(COA!$B$4:$B$37,MATCH(E109,COA!$A$4:$A$37,0)),"INVALID CODE"))</f>
        <v>Trade payables</v>
      </c>
      <c r="I109" s="16" t="n">
        <f aca="false">I108+F109-G109</f>
        <v>2155800</v>
      </c>
    </row>
    <row r="110" customFormat="false" ht="15" hidden="false" customHeight="false" outlineLevel="0" collapsed="false">
      <c r="A110" s="14" t="n">
        <v>46019</v>
      </c>
      <c r="B110" s="7" t="s">
        <v>568</v>
      </c>
      <c r="C110" s="7" t="s">
        <v>374</v>
      </c>
      <c r="D110" s="7" t="s">
        <v>569</v>
      </c>
      <c r="E110" s="7" t="n">
        <v>2410</v>
      </c>
      <c r="F110" s="10" t="n">
        <v>0</v>
      </c>
      <c r="G110" s="10" t="n">
        <v>289346</v>
      </c>
      <c r="H110" s="6" t="str">
        <f aca="false">IF(E110="","",IFERROR(INDEX(COA!$B$4:$B$37,MATCH(E110,COA!$A$4:$A$37,0)),"INVALID CODE"))</f>
        <v>Net salaries payable</v>
      </c>
      <c r="I110" s="16" t="n">
        <f aca="false">I109+F110-G110</f>
        <v>1866454</v>
      </c>
    </row>
    <row r="111" customFormat="false" ht="15" hidden="false" customHeight="false" outlineLevel="0" collapsed="false">
      <c r="A111" s="14" t="n">
        <v>46019</v>
      </c>
      <c r="B111" s="7" t="s">
        <v>570</v>
      </c>
      <c r="C111" s="7" t="s">
        <v>228</v>
      </c>
      <c r="D111" s="7" t="s">
        <v>571</v>
      </c>
      <c r="E111" s="7" t="n">
        <v>1300</v>
      </c>
      <c r="F111" s="10" t="n">
        <v>0</v>
      </c>
      <c r="G111" s="10" t="n">
        <v>350000</v>
      </c>
      <c r="H111" s="6" t="str">
        <f aca="false">IF(E111="","",IFERROR(INDEX(COA!$B$4:$B$37,MATCH(E111,COA!$A$4:$A$37,0)),"INVALID CODE"))</f>
        <v>Prepayments</v>
      </c>
      <c r="I111" s="16" t="n">
        <f aca="false">I110+F111-G111</f>
        <v>1516454</v>
      </c>
    </row>
    <row r="112" customFormat="false" ht="15" hidden="false" customHeight="false" outlineLevel="0" collapsed="false">
      <c r="A112" s="14" t="n">
        <v>46022</v>
      </c>
      <c r="B112" s="7" t="s">
        <v>572</v>
      </c>
      <c r="C112" s="7" t="s">
        <v>413</v>
      </c>
      <c r="D112" s="7" t="s">
        <v>469</v>
      </c>
      <c r="E112" s="7" t="n">
        <v>2300</v>
      </c>
      <c r="F112" s="10" t="n">
        <v>0</v>
      </c>
      <c r="G112" s="10" t="n">
        <v>45000</v>
      </c>
      <c r="H112" s="6" t="str">
        <f aca="false">IF(E112="","",IFERROR(INDEX(COA!$B$4:$B$37,MATCH(E112,COA!$A$4:$A$37,0)),"INVALID CODE"))</f>
        <v>Income tax payable</v>
      </c>
      <c r="I112" s="16" t="n">
        <f aca="false">I111+F112-G112</f>
        <v>1471454</v>
      </c>
    </row>
    <row r="113" customFormat="false" ht="15" hidden="false" customHeight="false" outlineLevel="0" collapsed="false">
      <c r="A113" s="14" t="n">
        <v>46022</v>
      </c>
      <c r="B113" s="7" t="s">
        <v>573</v>
      </c>
      <c r="C113" s="7" t="s">
        <v>99</v>
      </c>
      <c r="D113" s="7" t="s">
        <v>574</v>
      </c>
      <c r="E113" s="7" t="n">
        <v>5600</v>
      </c>
      <c r="F113" s="10" t="n">
        <v>0</v>
      </c>
      <c r="G113" s="10" t="n">
        <v>48000</v>
      </c>
      <c r="H113" s="6" t="str">
        <f aca="false">IF(E113="","",IFERROR(INDEX(COA!$B$4:$B$37,MATCH(E113,COA!$A$4:$A$37,0)),"INVALID CODE"))</f>
        <v>Bank charges</v>
      </c>
      <c r="I113" s="16" t="n">
        <f aca="false">I112+F113-G113</f>
        <v>1423454</v>
      </c>
    </row>
    <row r="114" customFormat="false" ht="15" hidden="false" customHeight="false" outlineLevel="0" collapsed="false">
      <c r="A114" s="14" t="n">
        <v>46022</v>
      </c>
      <c r="B114" s="7" t="s">
        <v>575</v>
      </c>
      <c r="C114" s="7" t="s">
        <v>99</v>
      </c>
      <c r="D114" s="7" t="s">
        <v>471</v>
      </c>
      <c r="E114" s="7" t="n">
        <v>2500</v>
      </c>
      <c r="F114" s="10" t="n">
        <v>0</v>
      </c>
      <c r="G114" s="10" t="n">
        <v>200000</v>
      </c>
      <c r="H114" s="6" t="str">
        <f aca="false">IF(E114="","",IFERROR(INDEX(COA!$B$4:$B$37,MATCH(E114,COA!$A$4:$A$37,0)),"INVALID CODE"))</f>
        <v>Bank loan</v>
      </c>
      <c r="I114" s="16" t="n">
        <f aca="false">I113+F114-G114</f>
        <v>1223454</v>
      </c>
    </row>
    <row r="115" customFormat="false" ht="15" hidden="false" customHeight="false" outlineLevel="0" collapsed="false">
      <c r="A115" s="14" t="n">
        <v>46022</v>
      </c>
      <c r="B115" s="7" t="s">
        <v>576</v>
      </c>
      <c r="C115" s="7" t="s">
        <v>99</v>
      </c>
      <c r="D115" s="7" t="s">
        <v>473</v>
      </c>
      <c r="E115" s="7" t="n">
        <v>8100</v>
      </c>
      <c r="F115" s="10" t="n">
        <v>0</v>
      </c>
      <c r="G115" s="10" t="n">
        <v>80000</v>
      </c>
      <c r="H115" s="6" t="str">
        <f aca="false">IF(E115="","",IFERROR(INDEX(COA!$B$4:$B$37,MATCH(E115,COA!$A$4:$A$37,0)),"INVALID CODE"))</f>
        <v>Interest on bank loan</v>
      </c>
      <c r="I115" s="16" t="n">
        <f aca="false">I114+F115-G115</f>
        <v>1143454</v>
      </c>
    </row>
    <row r="116" customFormat="false" ht="15" hidden="false" customHeight="false" outlineLevel="0" collapsed="false">
      <c r="H116" s="6" t="str">
        <f aca="false">IF(E116="","",IFERROR(INDEX(COA!$B$4:$B$37,MATCH(E116,COA!$A$4:$A$37,0)),"INVALID CODE"))</f>
        <v/>
      </c>
    </row>
    <row r="117" customFormat="false" ht="15" hidden="false" customHeight="false" outlineLevel="0" collapsed="false">
      <c r="H117" s="6" t="str">
        <f aca="false">IF(E117="","",IFERROR(INDEX(COA!$B$4:$B$37,MATCH(E117,COA!$A$4:$A$37,0)),"INVALID CODE"))</f>
        <v/>
      </c>
    </row>
    <row r="118" customFormat="false" ht="15" hidden="false" customHeight="false" outlineLevel="0" collapsed="false">
      <c r="H118" s="6" t="str">
        <f aca="false">IF(E118="","",IFERROR(INDEX(COA!$B$4:$B$37,MATCH(E118,COA!$A$4:$A$37,0)),"INVALID CODE"))</f>
        <v/>
      </c>
    </row>
    <row r="119" customFormat="false" ht="15" hidden="false" customHeight="false" outlineLevel="0" collapsed="false">
      <c r="H119" s="6" t="str">
        <f aca="false">IF(E119="","",IFERROR(INDEX(COA!$B$4:$B$37,MATCH(E119,COA!$A$4:$A$37,0)),"INVALID CODE"))</f>
        <v/>
      </c>
    </row>
    <row r="120" customFormat="false" ht="15" hidden="false" customHeight="false" outlineLevel="0" collapsed="false">
      <c r="H120" s="6" t="str">
        <f aca="false">IF(E120="","",IFERROR(INDEX(COA!$B$4:$B$37,MATCH(E120,COA!$A$4:$A$37,0)),"INVALID CODE"))</f>
        <v/>
      </c>
    </row>
    <row r="121" customFormat="false" ht="15" hidden="false" customHeight="false" outlineLevel="0" collapsed="false">
      <c r="H121" s="6" t="str">
        <f aca="false">IF(E121="","",IFERROR(INDEX(COA!$B$4:$B$37,MATCH(E121,COA!$A$4:$A$37,0)),"INVALID CODE"))</f>
        <v/>
      </c>
    </row>
    <row r="122" customFormat="false" ht="15" hidden="false" customHeight="false" outlineLevel="0" collapsed="false">
      <c r="H122" s="6" t="str">
        <f aca="false">IF(E122="","",IFERROR(INDEX(COA!$B$4:$B$37,MATCH(E122,COA!$A$4:$A$37,0)),"INVALID CODE"))</f>
        <v/>
      </c>
    </row>
    <row r="123" customFormat="false" ht="15" hidden="false" customHeight="false" outlineLevel="0" collapsed="false">
      <c r="H123" s="6" t="str">
        <f aca="false">IF(E123="","",IFERROR(INDEX(COA!$B$4:$B$37,MATCH(E123,COA!$A$4:$A$37,0)),"INVALID CODE"))</f>
        <v/>
      </c>
    </row>
    <row r="124" customFormat="false" ht="15" hidden="false" customHeight="false" outlineLevel="0" collapsed="false">
      <c r="H124" s="6" t="str">
        <f aca="false">IF(E124="","",IFERROR(INDEX(COA!$B$4:$B$37,MATCH(E124,COA!$A$4:$A$37,0)),"INVALID CODE"))</f>
        <v/>
      </c>
    </row>
    <row r="125" customFormat="false" ht="15" hidden="false" customHeight="false" outlineLevel="0" collapsed="false">
      <c r="H125" s="6" t="str">
        <f aca="false">IF(E125="","",IFERROR(INDEX(COA!$B$4:$B$37,MATCH(E125,COA!$A$4:$A$37,0)),"INVALID CODE"))</f>
        <v/>
      </c>
    </row>
    <row r="126" customFormat="false" ht="15" hidden="false" customHeight="false" outlineLevel="0" collapsed="false">
      <c r="H126" s="6" t="str">
        <f aca="false">IF(E126="","",IFERROR(INDEX(COA!$B$4:$B$37,MATCH(E126,COA!$A$4:$A$37,0)),"INVALID CODE"))</f>
        <v/>
      </c>
    </row>
    <row r="127" customFormat="false" ht="15" hidden="false" customHeight="false" outlineLevel="0" collapsed="false">
      <c r="H127" s="6" t="str">
        <f aca="false">IF(E127="","",IFERROR(INDEX(COA!$B$4:$B$37,MATCH(E127,COA!$A$4:$A$37,0)),"INVALID CODE"))</f>
        <v/>
      </c>
    </row>
    <row r="128" customFormat="false" ht="15" hidden="false" customHeight="false" outlineLevel="0" collapsed="false">
      <c r="H128" s="6" t="str">
        <f aca="false">IF(E128="","",IFERROR(INDEX(COA!$B$4:$B$37,MATCH(E128,COA!$A$4:$A$37,0)),"INVALID CODE"))</f>
        <v/>
      </c>
    </row>
    <row r="129" customFormat="false" ht="15" hidden="false" customHeight="false" outlineLevel="0" collapsed="false">
      <c r="H129" s="6" t="str">
        <f aca="false">IF(E129="","",IFERROR(INDEX(COA!$B$4:$B$37,MATCH(E129,COA!$A$4:$A$37,0)),"INVALID CODE"))</f>
        <v/>
      </c>
    </row>
    <row r="130" customFormat="false" ht="15" hidden="false" customHeight="false" outlineLevel="0" collapsed="false">
      <c r="H130" s="6" t="str">
        <f aca="false">IF(E130="","",IFERROR(INDEX(COA!$B$4:$B$37,MATCH(E130,COA!$A$4:$A$37,0)),"INVALID CODE"))</f>
        <v/>
      </c>
    </row>
    <row r="131" customFormat="false" ht="15" hidden="false" customHeight="false" outlineLevel="0" collapsed="false">
      <c r="H131" s="6" t="str">
        <f aca="false">IF(E131="","",IFERROR(INDEX(COA!$B$4:$B$37,MATCH(E131,COA!$A$4:$A$37,0)),"INVALID CODE"))</f>
        <v/>
      </c>
    </row>
    <row r="132" customFormat="false" ht="15" hidden="false" customHeight="false" outlineLevel="0" collapsed="false">
      <c r="H132" s="6" t="str">
        <f aca="false">IF(E132="","",IFERROR(INDEX(COA!$B$4:$B$37,MATCH(E132,COA!$A$4:$A$37,0)),"INVALID CODE"))</f>
        <v/>
      </c>
    </row>
    <row r="133" customFormat="false" ht="15" hidden="false" customHeight="false" outlineLevel="0" collapsed="false">
      <c r="H133" s="6" t="str">
        <f aca="false">IF(E133="","",IFERROR(INDEX(COA!$B$4:$B$37,MATCH(E133,COA!$A$4:$A$37,0)),"INVALID CODE"))</f>
        <v/>
      </c>
    </row>
    <row r="134" customFormat="false" ht="15" hidden="false" customHeight="false" outlineLevel="0" collapsed="false">
      <c r="H134" s="6" t="str">
        <f aca="false">IF(E134="","",IFERROR(INDEX(COA!$B$4:$B$37,MATCH(E134,COA!$A$4:$A$37,0)),"INVALID CODE"))</f>
        <v/>
      </c>
    </row>
    <row r="135" customFormat="false" ht="15" hidden="false" customHeight="false" outlineLevel="0" collapsed="false">
      <c r="H135" s="6" t="str">
        <f aca="false">IF(E135="","",IFERROR(INDEX(COA!$B$4:$B$37,MATCH(E135,COA!$A$4:$A$37,0)),"INVALID CODE"))</f>
        <v/>
      </c>
    </row>
    <row r="136" customFormat="false" ht="15" hidden="false" customHeight="false" outlineLevel="0" collapsed="false">
      <c r="H136" s="6" t="str">
        <f aca="false">IF(E136="","",IFERROR(INDEX(COA!$B$4:$B$37,MATCH(E136,COA!$A$4:$A$37,0)),"INVALID CODE"))</f>
        <v/>
      </c>
    </row>
    <row r="137" customFormat="false" ht="15" hidden="false" customHeight="false" outlineLevel="0" collapsed="false">
      <c r="H137" s="6" t="str">
        <f aca="false">IF(E137="","",IFERROR(INDEX(COA!$B$4:$B$37,MATCH(E137,COA!$A$4:$A$37,0)),"INVALID CODE"))</f>
        <v/>
      </c>
    </row>
    <row r="138" customFormat="false" ht="15" hidden="false" customHeight="false" outlineLevel="0" collapsed="false">
      <c r="H138" s="6" t="str">
        <f aca="false">IF(E138="","",IFERROR(INDEX(COA!$B$4:$B$37,MATCH(E138,COA!$A$4:$A$37,0)),"INVALID CODE"))</f>
        <v/>
      </c>
    </row>
    <row r="139" customFormat="false" ht="15" hidden="false" customHeight="false" outlineLevel="0" collapsed="false">
      <c r="H139" s="6" t="str">
        <f aca="false">IF(E139="","",IFERROR(INDEX(COA!$B$4:$B$37,MATCH(E139,COA!$A$4:$A$37,0)),"INVALID CODE"))</f>
        <v/>
      </c>
    </row>
    <row r="140" customFormat="false" ht="15" hidden="false" customHeight="false" outlineLevel="0" collapsed="false">
      <c r="H140" s="6" t="str">
        <f aca="false">IF(E140="","",IFERROR(INDEX(COA!$B$4:$B$37,MATCH(E140,COA!$A$4:$A$37,0)),"INVALID CODE"))</f>
        <v/>
      </c>
    </row>
    <row r="141" customFormat="false" ht="15" hidden="false" customHeight="false" outlineLevel="0" collapsed="false">
      <c r="H141" s="6" t="str">
        <f aca="false">IF(E141="","",IFERROR(INDEX(COA!$B$4:$B$37,MATCH(E141,COA!$A$4:$A$37,0)),"INVALID CODE"))</f>
        <v/>
      </c>
    </row>
    <row r="142" customFormat="false" ht="15" hidden="false" customHeight="false" outlineLevel="0" collapsed="false">
      <c r="H142" s="6" t="str">
        <f aca="false">IF(E142="","",IFERROR(INDEX(COA!$B$4:$B$37,MATCH(E142,COA!$A$4:$A$37,0)),"INVALID CODE"))</f>
        <v/>
      </c>
    </row>
    <row r="143" customFormat="false" ht="15" hidden="false" customHeight="false" outlineLevel="0" collapsed="false">
      <c r="H143" s="6" t="str">
        <f aca="false">IF(E143="","",IFERROR(INDEX(COA!$B$4:$B$37,MATCH(E143,COA!$A$4:$A$37,0)),"INVALID CODE"))</f>
        <v/>
      </c>
    </row>
    <row r="144" customFormat="false" ht="15" hidden="false" customHeight="false" outlineLevel="0" collapsed="false">
      <c r="H144" s="6" t="str">
        <f aca="false">IF(E144="","",IFERROR(INDEX(COA!$B$4:$B$37,MATCH(E144,COA!$A$4:$A$37,0)),"INVALID CODE"))</f>
        <v/>
      </c>
    </row>
    <row r="145" customFormat="false" ht="15" hidden="false" customHeight="false" outlineLevel="0" collapsed="false">
      <c r="H145" s="6" t="str">
        <f aca="false">IF(E145="","",IFERROR(INDEX(COA!$B$4:$B$37,MATCH(E145,COA!$A$4:$A$37,0)),"INVALID CODE"))</f>
        <v/>
      </c>
    </row>
    <row r="146" customFormat="false" ht="15" hidden="false" customHeight="false" outlineLevel="0" collapsed="false">
      <c r="H146" s="6" t="str">
        <f aca="false">IF(E146="","",IFERROR(INDEX(COA!$B$4:$B$37,MATCH(E146,COA!$A$4:$A$37,0)),"INVALID CODE"))</f>
        <v/>
      </c>
    </row>
    <row r="147" customFormat="false" ht="15" hidden="false" customHeight="false" outlineLevel="0" collapsed="false">
      <c r="H147" s="6" t="str">
        <f aca="false">IF(E147="","",IFERROR(INDEX(COA!$B$4:$B$37,MATCH(E147,COA!$A$4:$A$37,0)),"INVALID CODE"))</f>
        <v/>
      </c>
    </row>
    <row r="148" customFormat="false" ht="15" hidden="false" customHeight="false" outlineLevel="0" collapsed="false">
      <c r="H148" s="6" t="str">
        <f aca="false">IF(E148="","",IFERROR(INDEX(COA!$B$4:$B$37,MATCH(E148,COA!$A$4:$A$37,0)),"INVALID CODE"))</f>
        <v/>
      </c>
    </row>
    <row r="149" customFormat="false" ht="15" hidden="false" customHeight="false" outlineLevel="0" collapsed="false">
      <c r="H149" s="6" t="str">
        <f aca="false">IF(E149="","",IFERROR(INDEX(COA!$B$4:$B$37,MATCH(E149,COA!$A$4:$A$37,0)),"INVALID CODE"))</f>
        <v/>
      </c>
    </row>
    <row r="150" customFormat="false" ht="15" hidden="false" customHeight="false" outlineLevel="0" collapsed="false">
      <c r="H150" s="6" t="str">
        <f aca="false">IF(E150="","",IFERROR(INDEX(COA!$B$4:$B$37,MATCH(E150,COA!$A$4:$A$37,0)),"INVALID CODE"))</f>
        <v/>
      </c>
    </row>
    <row r="151" customFormat="false" ht="15" hidden="false" customHeight="false" outlineLevel="0" collapsed="false">
      <c r="H151" s="6" t="str">
        <f aca="false">IF(E151="","",IFERROR(INDEX(COA!$B$4:$B$37,MATCH(E151,COA!$A$4:$A$37,0)),"INVALID CODE"))</f>
        <v/>
      </c>
    </row>
    <row r="152" customFormat="false" ht="15" hidden="false" customHeight="false" outlineLevel="0" collapsed="false">
      <c r="H152" s="6" t="str">
        <f aca="false">IF(E152="","",IFERROR(INDEX(COA!$B$4:$B$37,MATCH(E152,COA!$A$4:$A$37,0)),"INVALID CODE"))</f>
        <v/>
      </c>
    </row>
    <row r="153" customFormat="false" ht="15" hidden="false" customHeight="false" outlineLevel="0" collapsed="false">
      <c r="H153" s="6" t="str">
        <f aca="false">IF(E153="","",IFERROR(INDEX(COA!$B$4:$B$37,MATCH(E153,COA!$A$4:$A$37,0)),"INVALID CODE"))</f>
        <v/>
      </c>
    </row>
    <row r="154" customFormat="false" ht="15" hidden="false" customHeight="false" outlineLevel="0" collapsed="false">
      <c r="H154" s="6" t="str">
        <f aca="false">IF(E154="","",IFERROR(INDEX(COA!$B$4:$B$37,MATCH(E154,COA!$A$4:$A$37,0)),"INVALID CODE"))</f>
        <v/>
      </c>
    </row>
    <row r="155" customFormat="false" ht="15" hidden="false" customHeight="false" outlineLevel="0" collapsed="false">
      <c r="H155" s="6" t="str">
        <f aca="false">IF(E155="","",IFERROR(INDEX(COA!$B$4:$B$37,MATCH(E155,COA!$A$4:$A$37,0)),"INVALID CODE"))</f>
        <v/>
      </c>
    </row>
  </sheetData>
  <dataValidations count="1">
    <dataValidation allowBlank="true" error="Use a code from the COA sheet." errorStyle="stop" errorTitle="Invalid code" operator="between" showDropDown="false" showErrorMessage="true" showInputMessage="false" sqref="E5:E155" type="list">
      <formula1>COA!$A$4:$A$37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1" min="9" style="0" width="14"/>
    <col collapsed="false" customWidth="true" hidden="false" outlineLevel="0" max="15" min="13" style="0" width="12"/>
  </cols>
  <sheetData>
    <row r="1" customFormat="false" ht="16.15" hidden="false" customHeight="false" outlineLevel="0" collapsed="false">
      <c r="A1" s="1" t="s">
        <v>577</v>
      </c>
    </row>
    <row r="2" customFormat="false" ht="15" hidden="false" customHeight="false" outlineLevel="0" collapsed="false">
      <c r="A2" s="11" t="s">
        <v>578</v>
      </c>
    </row>
    <row r="3" customFormat="false" ht="15" hidden="false" customHeight="false" outlineLevel="0" collapsed="false">
      <c r="M3" s="11" t="s">
        <v>579</v>
      </c>
    </row>
    <row r="4" customFormat="false" ht="35.05" hidden="false" customHeight="false" outlineLevel="0" collapsed="false">
      <c r="A4" s="2" t="s">
        <v>100</v>
      </c>
      <c r="B4" s="2" t="s">
        <v>580</v>
      </c>
      <c r="C4" s="2" t="s">
        <v>581</v>
      </c>
      <c r="D4" s="2" t="s">
        <v>582</v>
      </c>
      <c r="E4" s="2" t="s">
        <v>583</v>
      </c>
      <c r="F4" s="2" t="s">
        <v>584</v>
      </c>
      <c r="G4" s="2" t="s">
        <v>585</v>
      </c>
      <c r="H4" s="2" t="s">
        <v>586</v>
      </c>
      <c r="I4" s="2" t="s">
        <v>587</v>
      </c>
      <c r="J4" s="2" t="s">
        <v>588</v>
      </c>
      <c r="K4" s="2" t="s">
        <v>589</v>
      </c>
      <c r="M4" s="17" t="n">
        <f aca="false">Settings!$B$4+1</f>
        <v>2026</v>
      </c>
      <c r="N4" s="17" t="n">
        <f aca="false">Settings!$B$4+2</f>
        <v>2027</v>
      </c>
      <c r="O4" s="17" t="n">
        <f aca="false">Settings!$B$4+3</f>
        <v>2028</v>
      </c>
    </row>
    <row r="5" customFormat="false" ht="15" hidden="false" customHeight="false" outlineLevel="0" collapsed="false">
      <c r="A5" s="7" t="s">
        <v>590</v>
      </c>
      <c r="B5" s="14" t="n">
        <v>45170</v>
      </c>
      <c r="C5" s="10" t="n">
        <v>1800000</v>
      </c>
      <c r="D5" s="8" t="n">
        <v>4</v>
      </c>
      <c r="E5" s="7" t="s">
        <v>591</v>
      </c>
      <c r="F5" s="18" t="n">
        <f aca="false">MAX(0,(Settings!$B$4-YEAR(B5))*12-(MONTH(B5)-1))</f>
        <v>16</v>
      </c>
      <c r="G5" s="16" t="n">
        <f aca="false">MIN(C5,C5/D5*F5/12)</f>
        <v>600000</v>
      </c>
      <c r="H5" s="18" t="n">
        <f aca="false">IF(YEAR(B5)&gt;Settings!$B$4,0,IF(YEAR(B5)&lt;Settings!$B$4,12,12-MONTH(B5)+1))</f>
        <v>12</v>
      </c>
      <c r="I5" s="16" t="n">
        <f aca="false">ROUND(MIN(C5-G5,C5/D5*H5/12),0)</f>
        <v>450000</v>
      </c>
      <c r="J5" s="16" t="n">
        <f aca="false">G5+I5</f>
        <v>1050000</v>
      </c>
      <c r="K5" s="16" t="n">
        <f aca="false">C5-J5</f>
        <v>750000</v>
      </c>
      <c r="M5" s="16" t="n">
        <f aca="false">MIN(C5,C5/D5*(MAX(0,(M$4-YEAR(B5))*12-(MONTH(B5)-1))+12)/12)-MIN(C5,C5/D5*MAX(0,(M$4-YEAR(B5))*12-(MONTH(B5)-1))/12)</f>
        <v>450000</v>
      </c>
      <c r="N5" s="16" t="n">
        <f aca="false">MIN(C5,C5/D5*(MAX(0,(N$4-YEAR(B5))*12-(MONTH(B5)-1))+12)/12)-MIN(C5,C5/D5*MAX(0,(N$4-YEAR(B5))*12-(MONTH(B5)-1))/12)</f>
        <v>300000</v>
      </c>
      <c r="O5" s="16" t="n">
        <f aca="false">MIN(C5,C5/D5*(MAX(0,(O$4-YEAR(B5))*12-(MONTH(B5)-1))+12)/12)-MIN(C5,C5/D5*MAX(0,(O$4-YEAR(B5))*12-(MONTH(B5)-1))/12)</f>
        <v>0</v>
      </c>
    </row>
    <row r="6" customFormat="false" ht="15" hidden="false" customHeight="false" outlineLevel="0" collapsed="false">
      <c r="A6" s="7" t="s">
        <v>592</v>
      </c>
      <c r="B6" s="14" t="n">
        <v>45672</v>
      </c>
      <c r="C6" s="10" t="n">
        <v>950000</v>
      </c>
      <c r="D6" s="8" t="n">
        <v>3</v>
      </c>
      <c r="E6" s="7" t="s">
        <v>591</v>
      </c>
      <c r="F6" s="18" t="n">
        <f aca="false">MAX(0,(Settings!$B$4-YEAR(B6))*12-(MONTH(B6)-1))</f>
        <v>0</v>
      </c>
      <c r="G6" s="16" t="n">
        <f aca="false">MIN(C6,C6/D6*F6/12)</f>
        <v>0</v>
      </c>
      <c r="H6" s="18" t="n">
        <f aca="false">IF(YEAR(B6)&gt;Settings!$B$4,0,IF(YEAR(B6)&lt;Settings!$B$4,12,12-MONTH(B6)+1))</f>
        <v>12</v>
      </c>
      <c r="I6" s="16" t="n">
        <f aca="false">ROUND(MIN(C6-G6,C6/D6*H6/12),0)</f>
        <v>316667</v>
      </c>
      <c r="J6" s="16" t="n">
        <f aca="false">G6+I6</f>
        <v>316667</v>
      </c>
      <c r="K6" s="16" t="n">
        <f aca="false">C6-J6</f>
        <v>633333</v>
      </c>
      <c r="M6" s="16" t="n">
        <f aca="false">MIN(C6,C6/D6*(MAX(0,(M$4-YEAR(B6))*12-(MONTH(B6)-1))+12)/12)-MIN(C6,C6/D6*MAX(0,(M$4-YEAR(B6))*12-(MONTH(B6)-1))/12)</f>
        <v>316666.666666667</v>
      </c>
      <c r="N6" s="16" t="n">
        <f aca="false">MIN(C6,C6/D6*(MAX(0,(N$4-YEAR(B6))*12-(MONTH(B6)-1))+12)/12)-MIN(C6,C6/D6*MAX(0,(N$4-YEAR(B6))*12-(MONTH(B6)-1))/12)</f>
        <v>316666.666666667</v>
      </c>
      <c r="O6" s="16" t="n">
        <f aca="false">MIN(C6,C6/D6*(MAX(0,(O$4-YEAR(B6))*12-(MONTH(B6)-1))+12)/12)-MIN(C6,C6/D6*MAX(0,(O$4-YEAR(B6))*12-(MONTH(B6)-1))/12)</f>
        <v>0</v>
      </c>
    </row>
    <row r="7" customFormat="false" ht="15" hidden="false" customHeight="false" outlineLevel="0" collapsed="false">
      <c r="A7" s="7" t="s">
        <v>593</v>
      </c>
      <c r="B7" s="14" t="n">
        <v>45752</v>
      </c>
      <c r="C7" s="10" t="n">
        <v>2000000</v>
      </c>
      <c r="D7" s="8" t="n">
        <v>5</v>
      </c>
      <c r="E7" s="7" t="s">
        <v>594</v>
      </c>
      <c r="F7" s="18" t="n">
        <f aca="false">MAX(0,(Settings!$B$4-YEAR(B7))*12-(MONTH(B7)-1))</f>
        <v>0</v>
      </c>
      <c r="G7" s="16" t="n">
        <f aca="false">MIN(C7,C7/D7*F7/12)</f>
        <v>0</v>
      </c>
      <c r="H7" s="18" t="n">
        <f aca="false">IF(YEAR(B7)&gt;Settings!$B$4,0,IF(YEAR(B7)&lt;Settings!$B$4,12,12-MONTH(B7)+1))</f>
        <v>9</v>
      </c>
      <c r="I7" s="16" t="n">
        <f aca="false">ROUND(MIN(C7-G7,C7/D7*H7/12),0)</f>
        <v>300000</v>
      </c>
      <c r="J7" s="16" t="n">
        <f aca="false">G7+I7</f>
        <v>300000</v>
      </c>
      <c r="K7" s="16" t="n">
        <f aca="false">C7-J7</f>
        <v>1700000</v>
      </c>
      <c r="M7" s="16" t="n">
        <f aca="false">MIN(C7,C7/D7*(MAX(0,(M$4-YEAR(B7))*12-(MONTH(B7)-1))+12)/12)-MIN(C7,C7/D7*MAX(0,(M$4-YEAR(B7))*12-(MONTH(B7)-1))/12)</f>
        <v>400000</v>
      </c>
      <c r="N7" s="16" t="n">
        <f aca="false">MIN(C7,C7/D7*(MAX(0,(N$4-YEAR(B7))*12-(MONTH(B7)-1))+12)/12)-MIN(C7,C7/D7*MAX(0,(N$4-YEAR(B7))*12-(MONTH(B7)-1))/12)</f>
        <v>400000</v>
      </c>
      <c r="O7" s="16" t="n">
        <f aca="false">MIN(C7,C7/D7*(MAX(0,(O$4-YEAR(B7))*12-(MONTH(B7)-1))+12)/12)-MIN(C7,C7/D7*MAX(0,(O$4-YEAR(B7))*12-(MONTH(B7)-1))/12)</f>
        <v>400000</v>
      </c>
    </row>
    <row r="8" customFormat="false" ht="15" hidden="false" customHeight="false" outlineLevel="0" collapsed="false">
      <c r="A8" s="7" t="s">
        <v>595</v>
      </c>
      <c r="B8" s="14" t="n">
        <v>45950</v>
      </c>
      <c r="C8" s="10" t="n">
        <v>280000</v>
      </c>
      <c r="D8" s="8" t="n">
        <v>3</v>
      </c>
      <c r="E8" s="7" t="s">
        <v>591</v>
      </c>
      <c r="F8" s="18" t="n">
        <f aca="false">MAX(0,(Settings!$B$4-YEAR(B8))*12-(MONTH(B8)-1))</f>
        <v>0</v>
      </c>
      <c r="G8" s="16" t="n">
        <f aca="false">MIN(C8,C8/D8*F8/12)</f>
        <v>0</v>
      </c>
      <c r="H8" s="18" t="n">
        <f aca="false">IF(YEAR(B8)&gt;Settings!$B$4,0,IF(YEAR(B8)&lt;Settings!$B$4,12,12-MONTH(B8)+1))</f>
        <v>3</v>
      </c>
      <c r="I8" s="16" t="n">
        <f aca="false">ROUND(MIN(C8-G8,C8/D8*H8/12),0)</f>
        <v>23333</v>
      </c>
      <c r="J8" s="16" t="n">
        <f aca="false">G8+I8</f>
        <v>23333</v>
      </c>
      <c r="K8" s="16" t="n">
        <f aca="false">C8-J8</f>
        <v>256667</v>
      </c>
      <c r="M8" s="16" t="n">
        <f aca="false">MIN(C8,C8/D8*(MAX(0,(M$4-YEAR(B8))*12-(MONTH(B8)-1))+12)/12)-MIN(C8,C8/D8*MAX(0,(M$4-YEAR(B8))*12-(MONTH(B8)-1))/12)</f>
        <v>93333.3333333333</v>
      </c>
      <c r="N8" s="16" t="n">
        <f aca="false">MIN(C8,C8/D8*(MAX(0,(N$4-YEAR(B8))*12-(MONTH(B8)-1))+12)/12)-MIN(C8,C8/D8*MAX(0,(N$4-YEAR(B8))*12-(MONTH(B8)-1))/12)</f>
        <v>93333.3333333333</v>
      </c>
      <c r="O8" s="16" t="n">
        <f aca="false">MIN(C8,C8/D8*(MAX(0,(O$4-YEAR(B8))*12-(MONTH(B8)-1))+12)/12)-MIN(C8,C8/D8*MAX(0,(O$4-YEAR(B8))*12-(MONTH(B8)-1))/12)</f>
        <v>70000</v>
      </c>
    </row>
    <row r="9" customFormat="false" ht="15" hidden="false" customHeight="false" outlineLevel="0" collapsed="false">
      <c r="A9" s="5" t="s">
        <v>347</v>
      </c>
      <c r="C9" s="13" t="n">
        <f aca="false">SUM(C5:C8)</f>
        <v>5030000</v>
      </c>
      <c r="G9" s="13" t="n">
        <f aca="false">SUM(G5:G8)</f>
        <v>600000</v>
      </c>
      <c r="I9" s="13" t="n">
        <f aca="false">SUM(I5:I8)</f>
        <v>1090000</v>
      </c>
      <c r="J9" s="13" t="n">
        <f aca="false">SUM(J5:J8)</f>
        <v>1690000</v>
      </c>
      <c r="K9" s="13" t="n">
        <f aca="false">SUM(K5:K8)</f>
        <v>3340000</v>
      </c>
      <c r="M9" s="13" t="n">
        <f aca="false">SUM(M5:M8)</f>
        <v>1260000</v>
      </c>
      <c r="N9" s="13" t="n">
        <f aca="false">SUM(N5:N8)</f>
        <v>1110000</v>
      </c>
      <c r="O9" s="13" t="n">
        <f aca="false">SUM(O5:O8)</f>
        <v>470000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3" min="12" style="0" width="15"/>
  </cols>
  <sheetData>
    <row r="1" customFormat="false" ht="16.15" hidden="false" customHeight="false" outlineLevel="0" collapsed="false">
      <c r="A1" s="1" t="s">
        <v>596</v>
      </c>
    </row>
    <row r="2" customFormat="false" ht="15" hidden="false" customHeight="false" outlineLevel="0" collapsed="false">
      <c r="A2" s="11" t="s">
        <v>597</v>
      </c>
    </row>
    <row r="3" customFormat="false" ht="15" hidden="false" customHeight="false" outlineLevel="0" collapsed="false">
      <c r="A3" s="5" t="s">
        <v>598</v>
      </c>
      <c r="B3" s="10" t="n">
        <v>2400000</v>
      </c>
    </row>
    <row r="4" customFormat="false" ht="15" hidden="false" customHeight="false" outlineLevel="0" collapsed="false">
      <c r="A4" s="5" t="s">
        <v>599</v>
      </c>
      <c r="B4" s="14" t="n">
        <v>45748</v>
      </c>
    </row>
    <row r="5" customFormat="false" ht="15" hidden="false" customHeight="false" outlineLevel="0" collapsed="false">
      <c r="A5" s="5" t="s">
        <v>600</v>
      </c>
      <c r="B5" s="9" t="n">
        <v>0.16</v>
      </c>
    </row>
    <row r="6" customFormat="false" ht="15" hidden="false" customHeight="false" outlineLevel="0" collapsed="false">
      <c r="A6" s="5" t="s">
        <v>601</v>
      </c>
      <c r="B6" s="10" t="n">
        <v>200000</v>
      </c>
    </row>
    <row r="7" customFormat="false" ht="15" hidden="false" customHeight="false" outlineLevel="0" collapsed="false">
      <c r="A7" s="5" t="s">
        <v>602</v>
      </c>
      <c r="B7" s="7" t="s">
        <v>603</v>
      </c>
    </row>
    <row r="9" customFormat="false" ht="23.85" hidden="false" customHeight="false" outlineLevel="0" collapsed="false">
      <c r="A9" s="2" t="s">
        <v>604</v>
      </c>
      <c r="B9" s="2" t="s">
        <v>605</v>
      </c>
      <c r="C9" s="2" t="s">
        <v>606</v>
      </c>
      <c r="D9" s="2" t="s">
        <v>607</v>
      </c>
      <c r="E9" s="2" t="s">
        <v>153</v>
      </c>
      <c r="F9" s="2" t="s">
        <v>608</v>
      </c>
      <c r="G9" s="2" t="s">
        <v>609</v>
      </c>
      <c r="I9" s="12" t="s">
        <v>610</v>
      </c>
    </row>
    <row r="10" customFormat="false" ht="15" hidden="false" customHeight="false" outlineLevel="0" collapsed="false">
      <c r="A10" s="18" t="n">
        <v>1</v>
      </c>
      <c r="B10" s="19" t="n">
        <f aca="false">EOMONTH($B$4,3*A10-1)</f>
        <v>45838</v>
      </c>
      <c r="C10" s="18" t="n">
        <f aca="false">YEAR(B10)</f>
        <v>2025</v>
      </c>
      <c r="D10" s="16" t="n">
        <f aca="false">$B$3</f>
        <v>2400000</v>
      </c>
      <c r="E10" s="16" t="n">
        <f aca="false">ROUND(D10*$B$5/4,0)</f>
        <v>96000</v>
      </c>
      <c r="F10" s="16" t="n">
        <f aca="false">MIN(D10,$B$6)</f>
        <v>200000</v>
      </c>
      <c r="G10" s="16" t="n">
        <f aca="false">D10-F10</f>
        <v>2200000</v>
      </c>
      <c r="I10" s="12" t="s">
        <v>606</v>
      </c>
      <c r="J10" s="12" t="s">
        <v>153</v>
      </c>
      <c r="K10" s="12" t="s">
        <v>611</v>
      </c>
      <c r="L10" s="12" t="s">
        <v>609</v>
      </c>
      <c r="M10" s="12" t="s">
        <v>612</v>
      </c>
    </row>
    <row r="11" customFormat="false" ht="15" hidden="false" customHeight="false" outlineLevel="0" collapsed="false">
      <c r="A11" s="18" t="n">
        <v>2</v>
      </c>
      <c r="B11" s="19" t="n">
        <f aca="false">EOMONTH($B$4,3*A11-1)</f>
        <v>45930</v>
      </c>
      <c r="C11" s="18" t="n">
        <f aca="false">YEAR(B11)</f>
        <v>2025</v>
      </c>
      <c r="D11" s="16" t="n">
        <f aca="false">G10</f>
        <v>2200000</v>
      </c>
      <c r="E11" s="16" t="n">
        <f aca="false">ROUND(D11*$B$5/4,0)</f>
        <v>88000</v>
      </c>
      <c r="F11" s="16" t="n">
        <f aca="false">MIN(D11,$B$6)</f>
        <v>200000</v>
      </c>
      <c r="G11" s="16" t="n">
        <f aca="false">D11-F11</f>
        <v>2000000</v>
      </c>
      <c r="I11" s="20" t="n">
        <f aca="false">Settings!$B$4+0</f>
        <v>2025</v>
      </c>
      <c r="J11" s="16" t="n">
        <f aca="false">SUMIFS(Loan_Schedule!$E$10:$E$21,Loan_Schedule!$C$10:$C$21,I11)</f>
        <v>264000</v>
      </c>
      <c r="K11" s="16" t="n">
        <f aca="false">SUMIFS(Loan_Schedule!$F$10:$F$21,Loan_Schedule!$C$10:$C$21,I11)</f>
        <v>600000</v>
      </c>
      <c r="L11" s="16" t="n">
        <f aca="false">$B$3-SUMIFS(Loan_Schedule!$F$10:$F$21,Loan_Schedule!$C$10:$C$21,"&lt;="&amp;I11)</f>
        <v>1800000</v>
      </c>
      <c r="M11" s="16" t="n">
        <f aca="false">MIN(L11,SUMIFS(Loan_Schedule!$F$10:$F$21,Loan_Schedule!$C$10:$C$21,I11+1))</f>
        <v>800000</v>
      </c>
    </row>
    <row r="12" customFormat="false" ht="15" hidden="false" customHeight="false" outlineLevel="0" collapsed="false">
      <c r="A12" s="18" t="n">
        <v>3</v>
      </c>
      <c r="B12" s="19" t="n">
        <f aca="false">EOMONTH($B$4,3*A12-1)</f>
        <v>46022</v>
      </c>
      <c r="C12" s="18" t="n">
        <f aca="false">YEAR(B12)</f>
        <v>2025</v>
      </c>
      <c r="D12" s="16" t="n">
        <f aca="false">G11</f>
        <v>2000000</v>
      </c>
      <c r="E12" s="16" t="n">
        <f aca="false">ROUND(D12*$B$5/4,0)</f>
        <v>80000</v>
      </c>
      <c r="F12" s="16" t="n">
        <f aca="false">MIN(D12,$B$6)</f>
        <v>200000</v>
      </c>
      <c r="G12" s="16" t="n">
        <f aca="false">D12-F12</f>
        <v>1800000</v>
      </c>
      <c r="I12" s="20" t="n">
        <f aca="false">Settings!$B$4+1</f>
        <v>2026</v>
      </c>
      <c r="J12" s="16" t="n">
        <f aca="false">SUMIFS(Loan_Schedule!$E$10:$E$21,Loan_Schedule!$C$10:$C$21,I12)</f>
        <v>240000</v>
      </c>
      <c r="K12" s="16" t="n">
        <f aca="false">SUMIFS(Loan_Schedule!$F$10:$F$21,Loan_Schedule!$C$10:$C$21,I12)</f>
        <v>800000</v>
      </c>
      <c r="L12" s="16" t="n">
        <f aca="false">$B$3-SUMIFS(Loan_Schedule!$F$10:$F$21,Loan_Schedule!$C$10:$C$21,"&lt;="&amp;I12)</f>
        <v>1000000</v>
      </c>
      <c r="M12" s="16" t="n">
        <f aca="false">MIN(L12,SUMIFS(Loan_Schedule!$F$10:$F$21,Loan_Schedule!$C$10:$C$21,I12+1))</f>
        <v>800000</v>
      </c>
    </row>
    <row r="13" customFormat="false" ht="15" hidden="false" customHeight="false" outlineLevel="0" collapsed="false">
      <c r="A13" s="18" t="n">
        <v>4</v>
      </c>
      <c r="B13" s="19" t="n">
        <f aca="false">EOMONTH($B$4,3*A13-1)</f>
        <v>46112</v>
      </c>
      <c r="C13" s="18" t="n">
        <f aca="false">YEAR(B13)</f>
        <v>2026</v>
      </c>
      <c r="D13" s="16" t="n">
        <f aca="false">G12</f>
        <v>1800000</v>
      </c>
      <c r="E13" s="16" t="n">
        <f aca="false">ROUND(D13*$B$5/4,0)</f>
        <v>72000</v>
      </c>
      <c r="F13" s="16" t="n">
        <f aca="false">MIN(D13,$B$6)</f>
        <v>200000</v>
      </c>
      <c r="G13" s="16" t="n">
        <f aca="false">D13-F13</f>
        <v>1600000</v>
      </c>
      <c r="I13" s="20" t="n">
        <f aca="false">Settings!$B$4+2</f>
        <v>2027</v>
      </c>
      <c r="J13" s="16" t="n">
        <f aca="false">SUMIFS(Loan_Schedule!$E$10:$E$21,Loan_Schedule!$C$10:$C$21,I13)</f>
        <v>112000</v>
      </c>
      <c r="K13" s="16" t="n">
        <f aca="false">SUMIFS(Loan_Schedule!$F$10:$F$21,Loan_Schedule!$C$10:$C$21,I13)</f>
        <v>800000</v>
      </c>
      <c r="L13" s="16" t="n">
        <f aca="false">$B$3-SUMIFS(Loan_Schedule!$F$10:$F$21,Loan_Schedule!$C$10:$C$21,"&lt;="&amp;I13)</f>
        <v>200000</v>
      </c>
      <c r="M13" s="16" t="n">
        <f aca="false">MIN(L13,SUMIFS(Loan_Schedule!$F$10:$F$21,Loan_Schedule!$C$10:$C$21,I13+1))</f>
        <v>200000</v>
      </c>
    </row>
    <row r="14" customFormat="false" ht="15" hidden="false" customHeight="false" outlineLevel="0" collapsed="false">
      <c r="A14" s="18" t="n">
        <v>5</v>
      </c>
      <c r="B14" s="19" t="n">
        <f aca="false">EOMONTH($B$4,3*A14-1)</f>
        <v>46203</v>
      </c>
      <c r="C14" s="18" t="n">
        <f aca="false">YEAR(B14)</f>
        <v>2026</v>
      </c>
      <c r="D14" s="16" t="n">
        <f aca="false">G13</f>
        <v>1600000</v>
      </c>
      <c r="E14" s="16" t="n">
        <f aca="false">ROUND(D14*$B$5/4,0)</f>
        <v>64000</v>
      </c>
      <c r="F14" s="16" t="n">
        <f aca="false">MIN(D14,$B$6)</f>
        <v>200000</v>
      </c>
      <c r="G14" s="16" t="n">
        <f aca="false">D14-F14</f>
        <v>1400000</v>
      </c>
      <c r="I14" s="20" t="n">
        <f aca="false">Settings!$B$4+3</f>
        <v>2028</v>
      </c>
      <c r="J14" s="16" t="n">
        <f aca="false">SUMIFS(Loan_Schedule!$E$10:$E$21,Loan_Schedule!$C$10:$C$21,I14)</f>
        <v>8000</v>
      </c>
      <c r="K14" s="16" t="n">
        <f aca="false">SUMIFS(Loan_Schedule!$F$10:$F$21,Loan_Schedule!$C$10:$C$21,I14)</f>
        <v>200000</v>
      </c>
      <c r="L14" s="16" t="n">
        <f aca="false">$B$3-SUMIFS(Loan_Schedule!$F$10:$F$21,Loan_Schedule!$C$10:$C$21,"&lt;="&amp;I14)</f>
        <v>0</v>
      </c>
      <c r="M14" s="16" t="n">
        <f aca="false">MIN(L14,SUMIFS(Loan_Schedule!$F$10:$F$21,Loan_Schedule!$C$10:$C$21,I14+1))</f>
        <v>0</v>
      </c>
    </row>
    <row r="15" customFormat="false" ht="15" hidden="false" customHeight="false" outlineLevel="0" collapsed="false">
      <c r="A15" s="18" t="n">
        <v>6</v>
      </c>
      <c r="B15" s="19" t="n">
        <f aca="false">EOMONTH($B$4,3*A15-1)</f>
        <v>46295</v>
      </c>
      <c r="C15" s="18" t="n">
        <f aca="false">YEAR(B15)</f>
        <v>2026</v>
      </c>
      <c r="D15" s="16" t="n">
        <f aca="false">G14</f>
        <v>1400000</v>
      </c>
      <c r="E15" s="16" t="n">
        <f aca="false">ROUND(D15*$B$5/4,0)</f>
        <v>56000</v>
      </c>
      <c r="F15" s="16" t="n">
        <f aca="false">MIN(D15,$B$6)</f>
        <v>200000</v>
      </c>
      <c r="G15" s="16" t="n">
        <f aca="false">D15-F15</f>
        <v>1200000</v>
      </c>
    </row>
    <row r="16" customFormat="false" ht="15" hidden="false" customHeight="false" outlineLevel="0" collapsed="false">
      <c r="A16" s="18" t="n">
        <v>7</v>
      </c>
      <c r="B16" s="19" t="n">
        <f aca="false">EOMONTH($B$4,3*A16-1)</f>
        <v>46387</v>
      </c>
      <c r="C16" s="18" t="n">
        <f aca="false">YEAR(B16)</f>
        <v>2026</v>
      </c>
      <c r="D16" s="16" t="n">
        <f aca="false">G15</f>
        <v>1200000</v>
      </c>
      <c r="E16" s="16" t="n">
        <f aca="false">ROUND(D16*$B$5/4,0)</f>
        <v>48000</v>
      </c>
      <c r="F16" s="16" t="n">
        <f aca="false">MIN(D16,$B$6)</f>
        <v>200000</v>
      </c>
      <c r="G16" s="16" t="n">
        <f aca="false">D16-F16</f>
        <v>1000000</v>
      </c>
    </row>
    <row r="17" customFormat="false" ht="15" hidden="false" customHeight="false" outlineLevel="0" collapsed="false">
      <c r="A17" s="18" t="n">
        <v>8</v>
      </c>
      <c r="B17" s="19" t="n">
        <f aca="false">EOMONTH($B$4,3*A17-1)</f>
        <v>46477</v>
      </c>
      <c r="C17" s="18" t="n">
        <f aca="false">YEAR(B17)</f>
        <v>2027</v>
      </c>
      <c r="D17" s="16" t="n">
        <f aca="false">G16</f>
        <v>1000000</v>
      </c>
      <c r="E17" s="16" t="n">
        <f aca="false">ROUND(D17*$B$5/4,0)</f>
        <v>40000</v>
      </c>
      <c r="F17" s="16" t="n">
        <f aca="false">MIN(D17,$B$6)</f>
        <v>200000</v>
      </c>
      <c r="G17" s="16" t="n">
        <f aca="false">D17-F17</f>
        <v>800000</v>
      </c>
    </row>
    <row r="18" customFormat="false" ht="15" hidden="false" customHeight="false" outlineLevel="0" collapsed="false">
      <c r="A18" s="18" t="n">
        <v>9</v>
      </c>
      <c r="B18" s="19" t="n">
        <f aca="false">EOMONTH($B$4,3*A18-1)</f>
        <v>46568</v>
      </c>
      <c r="C18" s="18" t="n">
        <f aca="false">YEAR(B18)</f>
        <v>2027</v>
      </c>
      <c r="D18" s="16" t="n">
        <f aca="false">G17</f>
        <v>800000</v>
      </c>
      <c r="E18" s="16" t="n">
        <f aca="false">ROUND(D18*$B$5/4,0)</f>
        <v>32000</v>
      </c>
      <c r="F18" s="16" t="n">
        <f aca="false">MIN(D18,$B$6)</f>
        <v>200000</v>
      </c>
      <c r="G18" s="16" t="n">
        <f aca="false">D18-F18</f>
        <v>600000</v>
      </c>
    </row>
    <row r="19" customFormat="false" ht="15" hidden="false" customHeight="false" outlineLevel="0" collapsed="false">
      <c r="A19" s="18" t="n">
        <v>10</v>
      </c>
      <c r="B19" s="19" t="n">
        <f aca="false">EOMONTH($B$4,3*A19-1)</f>
        <v>46660</v>
      </c>
      <c r="C19" s="18" t="n">
        <f aca="false">YEAR(B19)</f>
        <v>2027</v>
      </c>
      <c r="D19" s="16" t="n">
        <f aca="false">G18</f>
        <v>600000</v>
      </c>
      <c r="E19" s="16" t="n">
        <f aca="false">ROUND(D19*$B$5/4,0)</f>
        <v>24000</v>
      </c>
      <c r="F19" s="16" t="n">
        <f aca="false">MIN(D19,$B$6)</f>
        <v>200000</v>
      </c>
      <c r="G19" s="16" t="n">
        <f aca="false">D19-F19</f>
        <v>400000</v>
      </c>
    </row>
    <row r="20" customFormat="false" ht="15" hidden="false" customHeight="false" outlineLevel="0" collapsed="false">
      <c r="A20" s="18" t="n">
        <v>11</v>
      </c>
      <c r="B20" s="19" t="n">
        <f aca="false">EOMONTH($B$4,3*A20-1)</f>
        <v>46752</v>
      </c>
      <c r="C20" s="18" t="n">
        <f aca="false">YEAR(B20)</f>
        <v>2027</v>
      </c>
      <c r="D20" s="16" t="n">
        <f aca="false">G19</f>
        <v>400000</v>
      </c>
      <c r="E20" s="16" t="n">
        <f aca="false">ROUND(D20*$B$5/4,0)</f>
        <v>16000</v>
      </c>
      <c r="F20" s="16" t="n">
        <f aca="false">MIN(D20,$B$6)</f>
        <v>200000</v>
      </c>
      <c r="G20" s="16" t="n">
        <f aca="false">D20-F20</f>
        <v>200000</v>
      </c>
    </row>
    <row r="21" customFormat="false" ht="15" hidden="false" customHeight="false" outlineLevel="0" collapsed="false">
      <c r="A21" s="18" t="n">
        <v>12</v>
      </c>
      <c r="B21" s="19" t="n">
        <f aca="false">EOMONTH($B$4,3*A21-1)</f>
        <v>46843</v>
      </c>
      <c r="C21" s="18" t="n">
        <f aca="false">YEAR(B21)</f>
        <v>2028</v>
      </c>
      <c r="D21" s="16" t="n">
        <f aca="false">G20</f>
        <v>200000</v>
      </c>
      <c r="E21" s="16" t="n">
        <f aca="false">ROUND(D21*$B$5/4,0)</f>
        <v>8000</v>
      </c>
      <c r="F21" s="16" t="n">
        <f aca="false">MIN(D21,$B$6)</f>
        <v>200000</v>
      </c>
      <c r="G21" s="16" t="n">
        <f aca="false">D21-F21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1" t="s">
        <v>613</v>
      </c>
    </row>
    <row r="2" customFormat="false" ht="15" hidden="false" customHeight="false" outlineLevel="0" collapsed="false">
      <c r="A2" s="11" t="s">
        <v>614</v>
      </c>
    </row>
    <row r="4" customFormat="false" ht="15" hidden="false" customHeight="false" outlineLevel="0" collapsed="false">
      <c r="A4" s="5" t="s">
        <v>615</v>
      </c>
    </row>
    <row r="5" customFormat="false" ht="15" hidden="false" customHeight="false" outlineLevel="0" collapsed="false">
      <c r="A5" s="12" t="s">
        <v>616</v>
      </c>
      <c r="B5" s="12" t="s">
        <v>617</v>
      </c>
      <c r="C5" s="12" t="s">
        <v>618</v>
      </c>
      <c r="D5" s="12" t="s">
        <v>619</v>
      </c>
      <c r="E5" s="12" t="s">
        <v>620</v>
      </c>
      <c r="F5" s="12" t="s">
        <v>621</v>
      </c>
    </row>
    <row r="6" customFormat="false" ht="15" hidden="false" customHeight="false" outlineLevel="0" collapsed="false">
      <c r="A6" s="3" t="s">
        <v>591</v>
      </c>
      <c r="B6" s="21" t="n">
        <f aca="false">Settings!$B$22</f>
        <v>0.5</v>
      </c>
      <c r="C6" s="10" t="n">
        <v>900000</v>
      </c>
      <c r="D6" s="16" t="n">
        <f aca="false">SUMPRODUCT((YEAR(Fixed_Assets!$B$5:$B$8)=Settings!$B$4)*(Fixed_Assets!$E$5:$E$8=A6)*Fixed_Assets!$C$5:$C$8)</f>
        <v>1230000</v>
      </c>
      <c r="E6" s="16" t="n">
        <f aca="false">ROUND(B6*(C6+D6),0)</f>
        <v>1065000</v>
      </c>
      <c r="F6" s="16" t="n">
        <f aca="false">C6+D6-E6</f>
        <v>1065000</v>
      </c>
    </row>
    <row r="7" customFormat="false" ht="15" hidden="false" customHeight="false" outlineLevel="0" collapsed="false">
      <c r="A7" s="3" t="s">
        <v>594</v>
      </c>
      <c r="B7" s="21" t="n">
        <f aca="false">Settings!$B$23</f>
        <v>0.25</v>
      </c>
      <c r="C7" s="10" t="n">
        <v>0</v>
      </c>
      <c r="D7" s="16" t="n">
        <f aca="false">SUMPRODUCT((YEAR(Fixed_Assets!$B$5:$B$8)=Settings!$B$4)*(Fixed_Assets!$E$5:$E$8=A7)*Fixed_Assets!$C$5:$C$8)</f>
        <v>2000000</v>
      </c>
      <c r="E7" s="16" t="n">
        <f aca="false">ROUND(B7*(C7+D7),0)</f>
        <v>500000</v>
      </c>
      <c r="F7" s="16" t="n">
        <f aca="false">C7+D7-E7</f>
        <v>1500000</v>
      </c>
    </row>
    <row r="8" customFormat="false" ht="15" hidden="false" customHeight="false" outlineLevel="0" collapsed="false">
      <c r="A8" s="5" t="s">
        <v>347</v>
      </c>
      <c r="C8" s="13" t="n">
        <f aca="false">SUM(C6:C7)</f>
        <v>900000</v>
      </c>
      <c r="D8" s="13" t="n">
        <f aca="false">SUM(D6:D7)</f>
        <v>3230000</v>
      </c>
      <c r="E8" s="13" t="n">
        <f aca="false">SUM(E6:E7)</f>
        <v>1565000</v>
      </c>
      <c r="F8" s="13" t="n">
        <f aca="false">SUM(F6:F7)</f>
        <v>2565000</v>
      </c>
    </row>
    <row r="10" customFormat="false" ht="15" hidden="false" customHeight="false" outlineLevel="0" collapsed="false">
      <c r="A10" s="5" t="s">
        <v>622</v>
      </c>
    </row>
    <row r="11" customFormat="false" ht="15" hidden="false" customHeight="false" outlineLevel="0" collapsed="false">
      <c r="A11" s="3" t="s">
        <v>623</v>
      </c>
      <c r="B11" s="4" t="n">
        <f aca="false">SoCI!C17</f>
        <v>1119600</v>
      </c>
    </row>
    <row r="12" customFormat="false" ht="15" hidden="false" customHeight="false" outlineLevel="0" collapsed="false">
      <c r="A12" s="3" t="s">
        <v>624</v>
      </c>
      <c r="B12" s="4" t="n">
        <f aca="false">Fixed_Assets!I9</f>
        <v>1090000</v>
      </c>
    </row>
    <row r="13" customFormat="false" ht="15" hidden="false" customHeight="false" outlineLevel="0" collapsed="false">
      <c r="A13" s="3" t="s">
        <v>625</v>
      </c>
      <c r="B13" s="10" t="n">
        <v>0</v>
      </c>
    </row>
    <row r="14" customFormat="false" ht="15" hidden="false" customHeight="false" outlineLevel="0" collapsed="false">
      <c r="A14" s="3" t="s">
        <v>626</v>
      </c>
      <c r="B14" s="16" t="n">
        <f aca="false">-E8</f>
        <v>-1565000</v>
      </c>
    </row>
    <row r="15" customFormat="false" ht="15" hidden="false" customHeight="false" outlineLevel="0" collapsed="false">
      <c r="A15" s="5" t="s">
        <v>622</v>
      </c>
      <c r="B15" s="13" t="n">
        <f aca="false">SUM(B11:B14)</f>
        <v>644600</v>
      </c>
    </row>
    <row r="16" customFormat="false" ht="15" hidden="false" customHeight="false" outlineLevel="0" collapsed="false">
      <c r="A16" s="5" t="s">
        <v>627</v>
      </c>
      <c r="B16" s="22" t="n">
        <f aca="false">ROUND(MAX(0,B15)*Settings!$B$5,0)</f>
        <v>180488</v>
      </c>
    </row>
    <row r="18" customFormat="false" ht="15" hidden="false" customHeight="false" outlineLevel="0" collapsed="false">
      <c r="A18" s="5" t="s">
        <v>628</v>
      </c>
    </row>
    <row r="19" customFormat="false" ht="15" hidden="false" customHeight="false" outlineLevel="0" collapsed="false">
      <c r="A19" s="3" t="s">
        <v>629</v>
      </c>
      <c r="B19" s="4" t="n">
        <f aca="false">Fixed_Assets!K9</f>
        <v>3340000</v>
      </c>
    </row>
    <row r="20" customFormat="false" ht="15" hidden="false" customHeight="false" outlineLevel="0" collapsed="false">
      <c r="A20" s="3" t="s">
        <v>630</v>
      </c>
      <c r="B20" s="16" t="n">
        <f aca="false">F8</f>
        <v>2565000</v>
      </c>
    </row>
    <row r="21" customFormat="false" ht="15" hidden="false" customHeight="false" outlineLevel="0" collapsed="false">
      <c r="A21" s="3" t="s">
        <v>631</v>
      </c>
      <c r="B21" s="16" t="n">
        <f aca="false">B19-B20</f>
        <v>775000</v>
      </c>
    </row>
    <row r="22" customFormat="false" ht="15" hidden="false" customHeight="false" outlineLevel="0" collapsed="false">
      <c r="A22" s="5" t="s">
        <v>632</v>
      </c>
      <c r="B22" s="22" t="n">
        <f aca="false">ROUND(B21*Settings!$B$5,0)</f>
        <v>217000</v>
      </c>
    </row>
    <row r="23" customFormat="false" ht="15" hidden="false" customHeight="false" outlineLevel="0" collapsed="false">
      <c r="A23" s="3" t="s">
        <v>633</v>
      </c>
      <c r="B23" s="4" t="n">
        <f aca="false">-SUMIFS(Opening_TB!$C$5:$C$13,Opening_TB!$A$5:$A$13,2700)</f>
        <v>84000</v>
      </c>
    </row>
    <row r="24" customFormat="false" ht="15" hidden="false" customHeight="false" outlineLevel="0" collapsed="false">
      <c r="A24" s="5" t="s">
        <v>634</v>
      </c>
      <c r="B24" s="13" t="n">
        <f aca="false">B22-B23</f>
        <v>133000</v>
      </c>
    </row>
    <row r="26" customFormat="false" ht="15" hidden="false" customHeight="false" outlineLevel="0" collapsed="false">
      <c r="A26" s="5" t="s">
        <v>635</v>
      </c>
    </row>
    <row r="27" customFormat="false" ht="15" hidden="false" customHeight="false" outlineLevel="0" collapsed="false">
      <c r="A27" s="3" t="s">
        <v>636</v>
      </c>
      <c r="B27" s="4" t="n">
        <f aca="false">-SUMIFS(Opening_TB!$C$5:$C$13,Opening_TB!$A$5:$A$13,2300)</f>
        <v>180000</v>
      </c>
    </row>
    <row r="28" customFormat="false" ht="15" hidden="false" customHeight="false" outlineLevel="0" collapsed="false">
      <c r="A28" s="3" t="s">
        <v>637</v>
      </c>
      <c r="B28" s="16" t="n">
        <f aca="false">B16</f>
        <v>180488</v>
      </c>
    </row>
    <row r="29" customFormat="false" ht="15" hidden="false" customHeight="false" outlineLevel="0" collapsed="false">
      <c r="A29" s="3" t="s">
        <v>638</v>
      </c>
      <c r="B29" s="16" t="n">
        <f aca="false">-SUMIFS(Cash_Book!$G$5:$G$155,Cash_Book!$E$5:$E$155,2300)</f>
        <v>-315000</v>
      </c>
    </row>
    <row r="30" customFormat="false" ht="15" hidden="false" customHeight="false" outlineLevel="0" collapsed="false">
      <c r="A30" s="5" t="s">
        <v>639</v>
      </c>
      <c r="B30" s="13" t="n">
        <f aca="false">SUM(B27:B29)</f>
        <v>45488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4"/>
  </cols>
  <sheetData>
    <row r="1" customFormat="false" ht="16.15" hidden="false" customHeight="false" outlineLevel="0" collapsed="false">
      <c r="A1" s="1" t="s">
        <v>640</v>
      </c>
    </row>
    <row r="2" customFormat="false" ht="15" hidden="false" customHeight="false" outlineLevel="0" collapsed="false">
      <c r="A2" s="11" t="s">
        <v>641</v>
      </c>
    </row>
    <row r="4" customFormat="false" ht="23.85" hidden="false" customHeight="false" outlineLevel="0" collapsed="false">
      <c r="A4" s="2" t="s">
        <v>172</v>
      </c>
      <c r="B4" s="2" t="s">
        <v>350</v>
      </c>
      <c r="C4" s="2" t="s">
        <v>174</v>
      </c>
      <c r="D4" s="2" t="s">
        <v>226</v>
      </c>
      <c r="E4" s="2" t="s">
        <v>642</v>
      </c>
      <c r="F4" s="2" t="s">
        <v>643</v>
      </c>
      <c r="G4" s="2" t="s">
        <v>95</v>
      </c>
    </row>
    <row r="5" customFormat="false" ht="15" hidden="false" customHeight="false" outlineLevel="0" collapsed="false">
      <c r="A5" s="19" t="n">
        <f aca="false">DATE(Settings!$B$4,12,31)</f>
        <v>46022</v>
      </c>
      <c r="B5" s="7" t="s">
        <v>644</v>
      </c>
      <c r="C5" s="7" t="s">
        <v>645</v>
      </c>
      <c r="D5" s="7" t="n">
        <v>6100</v>
      </c>
      <c r="E5" s="4" t="n">
        <f aca="false">Fixed_Assets!I9</f>
        <v>1090000</v>
      </c>
      <c r="G5" s="6" t="str">
        <f aca="false">IF(D5="","",IFERROR(INDEX(COA!$B$4:$B$37,MATCH(D5,COA!$A$4:$A$37,0)),"INVALID CODE"))</f>
        <v>Depreciation</v>
      </c>
    </row>
    <row r="6" customFormat="false" ht="15" hidden="false" customHeight="false" outlineLevel="0" collapsed="false">
      <c r="A6" s="19" t="n">
        <f aca="false">DATE(Settings!$B$4,12,31)</f>
        <v>46022</v>
      </c>
      <c r="B6" s="7" t="s">
        <v>644</v>
      </c>
      <c r="C6" s="7" t="s">
        <v>645</v>
      </c>
      <c r="D6" s="7" t="n">
        <v>1510</v>
      </c>
      <c r="F6" s="4" t="n">
        <f aca="false">Fixed_Assets!I9</f>
        <v>1090000</v>
      </c>
      <c r="G6" s="6" t="str">
        <f aca="false">IF(D6="","",IFERROR(INDEX(COA!$B$4:$B$37,MATCH(D6,COA!$A$4:$A$37,0)),"INVALID CODE"))</f>
        <v>Property, plant and equipment - accumulated depreciation</v>
      </c>
    </row>
    <row r="7" customFormat="false" ht="15" hidden="false" customHeight="false" outlineLevel="0" collapsed="false">
      <c r="A7" s="19" t="n">
        <f aca="false">DATE(Settings!$B$4,12,31)</f>
        <v>46022</v>
      </c>
      <c r="B7" s="7" t="s">
        <v>646</v>
      </c>
      <c r="C7" s="7" t="s">
        <v>647</v>
      </c>
      <c r="D7" s="7" t="n">
        <v>5300</v>
      </c>
      <c r="E7" s="10" t="n">
        <v>85000</v>
      </c>
      <c r="G7" s="6" t="str">
        <f aca="false">IF(D7="","",IFERROR(INDEX(COA!$B$4:$B$37,MATCH(D7,COA!$A$4:$A$37,0)),"INVALID CODE"))</f>
        <v>Electricity and water</v>
      </c>
    </row>
    <row r="8" customFormat="false" ht="15" hidden="false" customHeight="false" outlineLevel="0" collapsed="false">
      <c r="A8" s="19" t="n">
        <f aca="false">DATE(Settings!$B$4,12,31)</f>
        <v>46022</v>
      </c>
      <c r="B8" s="7" t="s">
        <v>646</v>
      </c>
      <c r="C8" s="7" t="s">
        <v>647</v>
      </c>
      <c r="D8" s="7" t="n">
        <v>2200</v>
      </c>
      <c r="F8" s="10" t="n">
        <v>85000</v>
      </c>
      <c r="G8" s="6" t="str">
        <f aca="false">IF(D8="","",IFERROR(INDEX(COA!$B$4:$B$37,MATCH(D8,COA!$A$4:$A$37,0)),"INVALID CODE"))</f>
        <v>Accrued expenses</v>
      </c>
    </row>
    <row r="9" customFormat="false" ht="15" hidden="false" customHeight="false" outlineLevel="0" collapsed="false">
      <c r="A9" s="19" t="n">
        <f aca="false">DATE(Settings!$B$4,12,31)</f>
        <v>46022</v>
      </c>
      <c r="B9" s="7" t="s">
        <v>648</v>
      </c>
      <c r="C9" s="7" t="s">
        <v>649</v>
      </c>
      <c r="D9" s="7" t="n">
        <v>5010</v>
      </c>
      <c r="E9" s="4" t="n">
        <f aca="false">Payroll!B17</f>
        <v>4800000</v>
      </c>
      <c r="G9" s="6" t="str">
        <f aca="false">IF(D9="","",IFERROR(INDEX(COA!$B$4:$B$37,MATCH(D9,COA!$A$4:$A$37,0)),"INVALID CODE"))</f>
        <v>Salaries and wages</v>
      </c>
    </row>
    <row r="10" customFormat="false" ht="15" hidden="false" customHeight="false" outlineLevel="0" collapsed="false">
      <c r="A10" s="19" t="n">
        <f aca="false">DATE(Settings!$B$4,12,31)</f>
        <v>46022</v>
      </c>
      <c r="B10" s="7" t="s">
        <v>648</v>
      </c>
      <c r="C10" s="7" t="s">
        <v>650</v>
      </c>
      <c r="D10" s="7" t="n">
        <v>5020</v>
      </c>
      <c r="E10" s="4" t="n">
        <f aca="false">Payroll!K17</f>
        <v>398400</v>
      </c>
      <c r="G10" s="6" t="str">
        <f aca="false">IF(D10="","",IFERROR(INDEX(COA!$B$4:$B$37,MATCH(D10,COA!$A$4:$A$37,0)),"INVALID CODE"))</f>
        <v>Employer RSSB contributions</v>
      </c>
    </row>
    <row r="11" customFormat="false" ht="15" hidden="false" customHeight="false" outlineLevel="0" collapsed="false">
      <c r="A11" s="19" t="n">
        <f aca="false">DATE(Settings!$B$4,12,31)</f>
        <v>46022</v>
      </c>
      <c r="B11" s="7" t="s">
        <v>648</v>
      </c>
      <c r="C11" s="7" t="s">
        <v>651</v>
      </c>
      <c r="D11" s="7" t="n">
        <v>2410</v>
      </c>
      <c r="F11" s="4" t="n">
        <f aca="false">Payroll!G17</f>
        <v>3472152</v>
      </c>
      <c r="G11" s="6" t="str">
        <f aca="false">IF(D11="","",IFERROR(INDEX(COA!$B$4:$B$37,MATCH(D11,COA!$A$4:$A$37,0)),"INVALID CODE"))</f>
        <v>Net salaries payable</v>
      </c>
    </row>
    <row r="12" customFormat="false" ht="15" hidden="false" customHeight="false" outlineLevel="0" collapsed="false">
      <c r="A12" s="19" t="n">
        <f aca="false">DATE(Settings!$B$4,12,31)</f>
        <v>46022</v>
      </c>
      <c r="B12" s="7" t="s">
        <v>648</v>
      </c>
      <c r="C12" s="7" t="s">
        <v>652</v>
      </c>
      <c r="D12" s="7" t="n">
        <v>2400</v>
      </c>
      <c r="F12" s="4" t="n">
        <f aca="false">Payroll!L17</f>
        <v>1726248</v>
      </c>
      <c r="G12" s="6" t="str">
        <f aca="false">IF(D12="","",IFERROR(INDEX(COA!$B$4:$B$37,MATCH(D12,COA!$A$4:$A$37,0)),"INVALID CODE"))</f>
        <v>PAYE and RSSB contributions payable</v>
      </c>
    </row>
    <row r="13" customFormat="false" ht="15" hidden="false" customHeight="false" outlineLevel="0" collapsed="false">
      <c r="A13" s="19" t="n">
        <f aca="false">DATE(Settings!$B$4,12,31)</f>
        <v>46022</v>
      </c>
      <c r="B13" s="7" t="s">
        <v>653</v>
      </c>
      <c r="C13" s="7" t="s">
        <v>654</v>
      </c>
      <c r="D13" s="7" t="n">
        <v>7000</v>
      </c>
      <c r="E13" s="4" t="n">
        <f aca="false">Tax_Computation!B16</f>
        <v>180488</v>
      </c>
      <c r="G13" s="6" t="str">
        <f aca="false">IF(D13="","",IFERROR(INDEX(COA!$B$4:$B$37,MATCH(D13,COA!$A$4:$A$37,0)),"INVALID CODE"))</f>
        <v>Current income tax</v>
      </c>
    </row>
    <row r="14" customFormat="false" ht="15" hidden="false" customHeight="false" outlineLevel="0" collapsed="false">
      <c r="A14" s="19" t="n">
        <f aca="false">DATE(Settings!$B$4,12,31)</f>
        <v>46022</v>
      </c>
      <c r="B14" s="7" t="s">
        <v>653</v>
      </c>
      <c r="C14" s="7" t="s">
        <v>654</v>
      </c>
      <c r="D14" s="7" t="n">
        <v>2300</v>
      </c>
      <c r="F14" s="4" t="n">
        <f aca="false">Tax_Computation!B16</f>
        <v>180488</v>
      </c>
      <c r="G14" s="6" t="str">
        <f aca="false">IF(D14="","",IFERROR(INDEX(COA!$B$4:$B$37,MATCH(D14,COA!$A$4:$A$37,0)),"INVALID CODE"))</f>
        <v>Income tax payable</v>
      </c>
    </row>
    <row r="15" customFormat="false" ht="15" hidden="false" customHeight="false" outlineLevel="0" collapsed="false">
      <c r="A15" s="19" t="n">
        <f aca="false">DATE(Settings!$B$4,12,31)</f>
        <v>46022</v>
      </c>
      <c r="B15" s="7" t="s">
        <v>655</v>
      </c>
      <c r="C15" s="7" t="s">
        <v>656</v>
      </c>
      <c r="D15" s="7" t="n">
        <v>7100</v>
      </c>
      <c r="E15" s="4" t="n">
        <f aca="false">Tax_Computation!B24</f>
        <v>133000</v>
      </c>
      <c r="G15" s="6" t="str">
        <f aca="false">IF(D15="","",IFERROR(INDEX(COA!$B$4:$B$37,MATCH(D15,COA!$A$4:$A$37,0)),"INVALID CODE"))</f>
        <v>Deferred tax</v>
      </c>
    </row>
    <row r="16" customFormat="false" ht="15" hidden="false" customHeight="false" outlineLevel="0" collapsed="false">
      <c r="A16" s="19" t="n">
        <f aca="false">DATE(Settings!$B$4,12,31)</f>
        <v>46022</v>
      </c>
      <c r="B16" s="7" t="s">
        <v>655</v>
      </c>
      <c r="C16" s="7" t="s">
        <v>656</v>
      </c>
      <c r="D16" s="7" t="n">
        <v>2700</v>
      </c>
      <c r="F16" s="4" t="n">
        <f aca="false">Tax_Computation!B24</f>
        <v>133000</v>
      </c>
      <c r="G16" s="6" t="str">
        <f aca="false">IF(D16="","",IFERROR(INDEX(COA!$B$4:$B$37,MATCH(D16,COA!$A$4:$A$37,0)),"INVALID CODE"))</f>
        <v>Deferred tax liability</v>
      </c>
    </row>
    <row r="17" customFormat="false" ht="15" hidden="false" customHeight="false" outlineLevel="0" collapsed="false">
      <c r="G17" s="6" t="str">
        <f aca="false">IF(D17="","",IFERROR(INDEX(COA!$B$4:$B$37,MATCH(D17,COA!$A$4:$A$37,0)),"INVALID CODE"))</f>
        <v/>
      </c>
    </row>
    <row r="18" customFormat="false" ht="15" hidden="false" customHeight="false" outlineLevel="0" collapsed="false">
      <c r="G18" s="6" t="str">
        <f aca="false">IF(D18="","",IFERROR(INDEX(COA!$B$4:$B$37,MATCH(D18,COA!$A$4:$A$37,0)),"INVALID CODE"))</f>
        <v/>
      </c>
    </row>
    <row r="19" customFormat="false" ht="15" hidden="false" customHeight="false" outlineLevel="0" collapsed="false">
      <c r="G19" s="6" t="str">
        <f aca="false">IF(D19="","",IFERROR(INDEX(COA!$B$4:$B$37,MATCH(D19,COA!$A$4:$A$37,0)),"INVALID CODE"))</f>
        <v/>
      </c>
    </row>
    <row r="20" customFormat="false" ht="15" hidden="false" customHeight="false" outlineLevel="0" collapsed="false">
      <c r="G20" s="6" t="str">
        <f aca="false">IF(D20="","",IFERROR(INDEX(COA!$B$4:$B$37,MATCH(D20,COA!$A$4:$A$37,0)),"INVALID CODE"))</f>
        <v/>
      </c>
    </row>
    <row r="21" customFormat="false" ht="15" hidden="false" customHeight="false" outlineLevel="0" collapsed="false">
      <c r="G21" s="6" t="str">
        <f aca="false">IF(D21="","",IFERROR(INDEX(COA!$B$4:$B$37,MATCH(D21,COA!$A$4:$A$37,0)),"INVALID CODE"))</f>
        <v/>
      </c>
    </row>
    <row r="22" customFormat="false" ht="15" hidden="false" customHeight="false" outlineLevel="0" collapsed="false">
      <c r="G22" s="6" t="str">
        <f aca="false">IF(D22="","",IFERROR(INDEX(COA!$B$4:$B$37,MATCH(D22,COA!$A$4:$A$37,0)),"INVALID CODE"))</f>
        <v/>
      </c>
    </row>
    <row r="23" customFormat="false" ht="15" hidden="false" customHeight="false" outlineLevel="0" collapsed="false">
      <c r="G23" s="6" t="str">
        <f aca="false">IF(D23="","",IFERROR(INDEX(COA!$B$4:$B$37,MATCH(D23,COA!$A$4:$A$37,0)),"INVALID CODE"))</f>
        <v/>
      </c>
    </row>
    <row r="24" customFormat="false" ht="15" hidden="false" customHeight="false" outlineLevel="0" collapsed="false">
      <c r="G24" s="6" t="str">
        <f aca="false">IF(D24="","",IFERROR(INDEX(COA!$B$4:$B$37,MATCH(D24,COA!$A$4:$A$37,0)),"INVALID CODE"))</f>
        <v/>
      </c>
    </row>
    <row r="25" customFormat="false" ht="15" hidden="false" customHeight="false" outlineLevel="0" collapsed="false">
      <c r="G25" s="6" t="str">
        <f aca="false">IF(D25="","",IFERROR(INDEX(COA!$B$4:$B$37,MATCH(D25,COA!$A$4:$A$37,0)),"INVALID CODE"))</f>
        <v/>
      </c>
    </row>
    <row r="26" customFormat="false" ht="15" hidden="false" customHeight="false" outlineLevel="0" collapsed="false">
      <c r="G26" s="6" t="str">
        <f aca="false">IF(D26="","",IFERROR(INDEX(COA!$B$4:$B$37,MATCH(D26,COA!$A$4:$A$37,0)),"INVALID CODE"))</f>
        <v/>
      </c>
    </row>
    <row r="27" customFormat="false" ht="15" hidden="false" customHeight="false" outlineLevel="0" collapsed="false">
      <c r="G27" s="6" t="str">
        <f aca="false">IF(D27="","",IFERROR(INDEX(COA!$B$4:$B$37,MATCH(D27,COA!$A$4:$A$37,0)),"INVALID CODE"))</f>
        <v/>
      </c>
    </row>
    <row r="28" customFormat="false" ht="15" hidden="false" customHeight="false" outlineLevel="0" collapsed="false">
      <c r="G28" s="6" t="str">
        <f aca="false">IF(D28="","",IFERROR(INDEX(COA!$B$4:$B$37,MATCH(D28,COA!$A$4:$A$37,0)),"INVALID CODE"))</f>
        <v/>
      </c>
    </row>
    <row r="29" customFormat="false" ht="15" hidden="false" customHeight="false" outlineLevel="0" collapsed="false">
      <c r="G29" s="6" t="str">
        <f aca="false">IF(D29="","",IFERROR(INDEX(COA!$B$4:$B$37,MATCH(D29,COA!$A$4:$A$37,0)),"INVALID CODE"))</f>
        <v/>
      </c>
    </row>
    <row r="30" customFormat="false" ht="15" hidden="false" customHeight="false" outlineLevel="0" collapsed="false">
      <c r="G30" s="6" t="str">
        <f aca="false">IF(D30="","",IFERROR(INDEX(COA!$B$4:$B$37,MATCH(D30,COA!$A$4:$A$37,0)),"INVALID CODE"))</f>
        <v/>
      </c>
    </row>
    <row r="31" customFormat="false" ht="15" hidden="false" customHeight="false" outlineLevel="0" collapsed="false">
      <c r="G31" s="6" t="str">
        <f aca="false">IF(D31="","",IFERROR(INDEX(COA!$B$4:$B$37,MATCH(D31,COA!$A$4:$A$37,0)),"INVALID CODE"))</f>
        <v/>
      </c>
    </row>
    <row r="32" customFormat="false" ht="15" hidden="false" customHeight="false" outlineLevel="0" collapsed="false">
      <c r="G32" s="6" t="str">
        <f aca="false">IF(D32="","",IFERROR(INDEX(COA!$B$4:$B$37,MATCH(D32,COA!$A$4:$A$37,0)),"INVALID CODE"))</f>
        <v/>
      </c>
    </row>
    <row r="33" customFormat="false" ht="15" hidden="false" customHeight="false" outlineLevel="0" collapsed="false">
      <c r="G33" s="6" t="str">
        <f aca="false">IF(D33="","",IFERROR(INDEX(COA!$B$4:$B$37,MATCH(D33,COA!$A$4:$A$37,0)),"INVALID CODE"))</f>
        <v/>
      </c>
    </row>
    <row r="34" customFormat="false" ht="15" hidden="false" customHeight="false" outlineLevel="0" collapsed="false">
      <c r="G34" s="6" t="str">
        <f aca="false">IF(D34="","",IFERROR(INDEX(COA!$B$4:$B$37,MATCH(D34,COA!$A$4:$A$37,0)),"INVALID CODE"))</f>
        <v/>
      </c>
    </row>
    <row r="35" customFormat="false" ht="15" hidden="false" customHeight="false" outlineLevel="0" collapsed="false">
      <c r="G35" s="6" t="str">
        <f aca="false">IF(D35="","",IFERROR(INDEX(COA!$B$4:$B$37,MATCH(D35,COA!$A$4:$A$37,0)),"INVALID CODE"))</f>
        <v/>
      </c>
    </row>
    <row r="36" customFormat="false" ht="15" hidden="false" customHeight="false" outlineLevel="0" collapsed="false">
      <c r="G36" s="6" t="str">
        <f aca="false">IF(D36="","",IFERROR(INDEX(COA!$B$4:$B$37,MATCH(D36,COA!$A$4:$A$37,0)),"INVALID CODE"))</f>
        <v/>
      </c>
    </row>
    <row r="37" customFormat="false" ht="15" hidden="false" customHeight="false" outlineLevel="0" collapsed="false">
      <c r="G37" s="6" t="str">
        <f aca="false">IF(D37="","",IFERROR(INDEX(COA!$B$4:$B$37,MATCH(D37,COA!$A$4:$A$37,0)),"INVALID CODE"))</f>
        <v/>
      </c>
    </row>
    <row r="38" customFormat="false" ht="15" hidden="false" customHeight="false" outlineLevel="0" collapsed="false">
      <c r="G38" s="6" t="str">
        <f aca="false">IF(D38="","",IFERROR(INDEX(COA!$B$4:$B$37,MATCH(D38,COA!$A$4:$A$37,0)),"INVALID CODE"))</f>
        <v/>
      </c>
    </row>
    <row r="39" customFormat="false" ht="15" hidden="false" customHeight="false" outlineLevel="0" collapsed="false">
      <c r="G39" s="6" t="str">
        <f aca="false">IF(D39="","",IFERROR(INDEX(COA!$B$4:$B$37,MATCH(D39,COA!$A$4:$A$37,0)),"INVALID CODE"))</f>
        <v/>
      </c>
    </row>
    <row r="40" customFormat="false" ht="15" hidden="false" customHeight="false" outlineLevel="0" collapsed="false">
      <c r="G40" s="6" t="str">
        <f aca="false">IF(D40="","",IFERROR(INDEX(COA!$B$4:$B$37,MATCH(D40,COA!$A$4:$A$37,0)),"INVALID CODE"))</f>
        <v/>
      </c>
    </row>
    <row r="41" customFormat="false" ht="15" hidden="false" customHeight="false" outlineLevel="0" collapsed="false">
      <c r="G41" s="6" t="str">
        <f aca="false">IF(D41="","",IFERROR(INDEX(COA!$B$4:$B$37,MATCH(D41,COA!$A$4:$A$37,0)),"INVALID CODE"))</f>
        <v/>
      </c>
    </row>
    <row r="42" customFormat="false" ht="15" hidden="false" customHeight="false" outlineLevel="0" collapsed="false">
      <c r="G42" s="6" t="str">
        <f aca="false">IF(D42="","",IFERROR(INDEX(COA!$B$4:$B$37,MATCH(D42,COA!$A$4:$A$37,0)),"INVALID CODE"))</f>
        <v/>
      </c>
    </row>
    <row r="43" customFormat="false" ht="15" hidden="false" customHeight="false" outlineLevel="0" collapsed="false">
      <c r="G43" s="6" t="str">
        <f aca="false">IF(D43="","",IFERROR(INDEX(COA!$B$4:$B$37,MATCH(D43,COA!$A$4:$A$37,0)),"INVALID CODE"))</f>
        <v/>
      </c>
    </row>
    <row r="44" customFormat="false" ht="15" hidden="false" customHeight="false" outlineLevel="0" collapsed="false">
      <c r="G44" s="6" t="str">
        <f aca="false">IF(D44="","",IFERROR(INDEX(COA!$B$4:$B$37,MATCH(D44,COA!$A$4:$A$37,0)),"INVALID CODE"))</f>
        <v/>
      </c>
    </row>
    <row r="45" customFormat="false" ht="15" hidden="false" customHeight="false" outlineLevel="0" collapsed="false">
      <c r="G45" s="6" t="str">
        <f aca="false">IF(D45="","",IFERROR(INDEX(COA!$B$4:$B$37,MATCH(D45,COA!$A$4:$A$37,0)),"INVALID CODE"))</f>
        <v/>
      </c>
    </row>
    <row r="46" customFormat="false" ht="15" hidden="false" customHeight="false" outlineLevel="0" collapsed="false">
      <c r="G46" s="6" t="str">
        <f aca="false">IF(D46="","",IFERROR(INDEX(COA!$B$4:$B$37,MATCH(D46,COA!$A$4:$A$37,0)),"INVALID CODE"))</f>
        <v/>
      </c>
    </row>
    <row r="47" customFormat="false" ht="15" hidden="false" customHeight="false" outlineLevel="0" collapsed="false">
      <c r="G47" s="6" t="str">
        <f aca="false">IF(D47="","",IFERROR(INDEX(COA!$B$4:$B$37,MATCH(D47,COA!$A$4:$A$37,0)),"INVALID CODE"))</f>
        <v/>
      </c>
    </row>
    <row r="48" customFormat="false" ht="15" hidden="false" customHeight="false" outlineLevel="0" collapsed="false">
      <c r="G48" s="6" t="str">
        <f aca="false">IF(D48="","",IFERROR(INDEX(COA!$B$4:$B$37,MATCH(D48,COA!$A$4:$A$37,0)),"INVALID CODE"))</f>
        <v/>
      </c>
    </row>
    <row r="49" customFormat="false" ht="15" hidden="false" customHeight="false" outlineLevel="0" collapsed="false">
      <c r="G49" s="6" t="str">
        <f aca="false">IF(D49="","",IFERROR(INDEX(COA!$B$4:$B$37,MATCH(D49,COA!$A$4:$A$37,0)),"INVALID CODE"))</f>
        <v/>
      </c>
    </row>
    <row r="50" customFormat="false" ht="15" hidden="false" customHeight="false" outlineLevel="0" collapsed="false">
      <c r="G50" s="6" t="str">
        <f aca="false">IF(D50="","",IFERROR(INDEX(COA!$B$4:$B$37,MATCH(D50,COA!$A$4:$A$37,0)),"INVALID CODE"))</f>
        <v/>
      </c>
    </row>
    <row r="51" customFormat="false" ht="15" hidden="false" customHeight="false" outlineLevel="0" collapsed="false">
      <c r="G51" s="6" t="str">
        <f aca="false">IF(D51="","",IFERROR(INDEX(COA!$B$4:$B$37,MATCH(D51,COA!$A$4:$A$37,0)),"INVALID CODE"))</f>
        <v/>
      </c>
    </row>
    <row r="52" customFormat="false" ht="15" hidden="false" customHeight="false" outlineLevel="0" collapsed="false">
      <c r="G52" s="6" t="str">
        <f aca="false">IF(D52="","",IFERROR(INDEX(COA!$B$4:$B$37,MATCH(D52,COA!$A$4:$A$37,0)),"INVALID CODE"))</f>
        <v/>
      </c>
    </row>
    <row r="53" customFormat="false" ht="15" hidden="false" customHeight="false" outlineLevel="0" collapsed="false">
      <c r="G53" s="6" t="str">
        <f aca="false">IF(D53="","",IFERROR(INDEX(COA!$B$4:$B$37,MATCH(D53,COA!$A$4:$A$37,0)),"INVALID CODE"))</f>
        <v/>
      </c>
    </row>
    <row r="54" customFormat="false" ht="15" hidden="false" customHeight="false" outlineLevel="0" collapsed="false">
      <c r="G54" s="6" t="str">
        <f aca="false">IF(D54="","",IFERROR(INDEX(COA!$B$4:$B$37,MATCH(D54,COA!$A$4:$A$37,0)),"INVALID CODE"))</f>
        <v/>
      </c>
    </row>
    <row r="55" customFormat="false" ht="15" hidden="false" customHeight="false" outlineLevel="0" collapsed="false">
      <c r="G55" s="6" t="str">
        <f aca="false">IF(D55="","",IFERROR(INDEX(COA!$B$4:$B$37,MATCH(D55,COA!$A$4:$A$37,0)),"INVALID CODE"))</f>
        <v/>
      </c>
    </row>
    <row r="56" customFormat="false" ht="15" hidden="false" customHeight="false" outlineLevel="0" collapsed="false">
      <c r="G56" s="6" t="str">
        <f aca="false">IF(D56="","",IFERROR(INDEX(COA!$B$4:$B$37,MATCH(D56,COA!$A$4:$A$37,0)),"INVALID CODE"))</f>
        <v/>
      </c>
    </row>
    <row r="58" customFormat="false" ht="15" hidden="false" customHeight="false" outlineLevel="0" collapsed="false">
      <c r="D58" s="5" t="s">
        <v>657</v>
      </c>
      <c r="E58" s="13" t="n">
        <f aca="false">SUM(Journals!$E$5:$E$56)</f>
        <v>6686888</v>
      </c>
      <c r="F58" s="13" t="n">
        <f aca="false">SUM(Journals!$F$5:$F$56)</f>
        <v>6686888</v>
      </c>
    </row>
  </sheetData>
  <dataValidations count="1">
    <dataValidation allowBlank="true" error="Use a code from the COA sheet." errorStyle="stop" errorTitle="Invalid code" operator="between" showDropDown="false" showErrorMessage="true" showInputMessage="false" sqref="D5:D56" type="list">
      <formula1>COA!$A$4:$A$37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10" min="5" style="0" width="14"/>
  </cols>
  <sheetData>
    <row r="1" customFormat="false" ht="16.15" hidden="false" customHeight="false" outlineLevel="0" collapsed="false">
      <c r="A1" s="1" t="str">
        <f aca="false">"Trial balance at 31 December "&amp;Settings!$B$4</f>
        <v>Trial balance at 31 December 2025</v>
      </c>
    </row>
    <row r="2" customFormat="false" ht="15" hidden="false" customHeight="false" outlineLevel="0" collapsed="false">
      <c r="A2" s="11" t="s">
        <v>658</v>
      </c>
    </row>
    <row r="4" customFormat="false" ht="15" hidden="false" customHeight="false" outlineLevel="0" collapsed="false">
      <c r="A4" s="2" t="s">
        <v>94</v>
      </c>
      <c r="B4" s="2" t="s">
        <v>95</v>
      </c>
      <c r="C4" s="2" t="s">
        <v>96</v>
      </c>
      <c r="D4" s="2" t="s">
        <v>97</v>
      </c>
      <c r="E4" s="2" t="s">
        <v>659</v>
      </c>
      <c r="F4" s="2" t="s">
        <v>660</v>
      </c>
      <c r="G4" s="2" t="s">
        <v>661</v>
      </c>
      <c r="H4" s="2" t="s">
        <v>662</v>
      </c>
      <c r="I4" s="2" t="s">
        <v>663</v>
      </c>
      <c r="J4" s="2" t="s">
        <v>664</v>
      </c>
    </row>
    <row r="5" customFormat="false" ht="15" hidden="false" customHeight="false" outlineLevel="0" collapsed="false">
      <c r="A5" s="23" t="n">
        <f aca="false">COA!A4</f>
        <v>1100</v>
      </c>
      <c r="B5" s="6" t="str">
        <f aca="false">COA!B4</f>
        <v>Bank</v>
      </c>
      <c r="C5" s="6" t="str">
        <f aca="false">COA!C4</f>
        <v>Asset</v>
      </c>
      <c r="D5" s="6" t="str">
        <f aca="false">COA!D4</f>
        <v>Cash and cash equivalents</v>
      </c>
      <c r="E5" s="16" t="n">
        <f aca="false">SUMIFS(Opening_TB!$C$5:$C$13,Opening_TB!$A$5:$A$13,A5)</f>
        <v>1500000</v>
      </c>
      <c r="F5" s="16" t="n">
        <f aca="false">SUMIFS(Purchase_Register!$F$5:$F$94,Purchase_Register!$E$5:$E$94,A5)+(A5=Settings!$B$7)*SUM(Sales_Register!$F$5:$F$65)+SUMIFS(Cash_Book!$G$5:$G$155,Cash_Book!$E$5:$E$155,A5)+(A5=Settings!$B$6)*SUM(Cash_Book!$F$5:$F$155)+SUMIFS(Journals!$E$5:$E$56,Journals!$D$5:$D$56,A5)</f>
        <v>21400000</v>
      </c>
      <c r="G5" s="16" t="n">
        <f aca="false">SUMIFS(Sales_Register!$F$5:$F$65,Sales_Register!$E$5:$E$65,A5)+(A5=Settings!$B$8)*SUM(Purchase_Register!$F$5:$F$94)+SUMIFS(Cash_Book!$F$5:$F$155,Cash_Book!$E$5:$E$155,A5)+(A5=Settings!$B$6)*SUM(Cash_Book!$G$5:$G$155)+SUMIFS(Journals!$F$5:$F$56,Journals!$D$5:$D$56,A5)</f>
        <v>21756546</v>
      </c>
      <c r="H5" s="16" t="n">
        <f aca="false">E5+F5-G5</f>
        <v>1143454</v>
      </c>
      <c r="I5" s="16" t="n">
        <f aca="false">MAX(0,H5)</f>
        <v>1143454</v>
      </c>
      <c r="J5" s="16" t="n">
        <f aca="false">MAX(0,-H5)</f>
        <v>0</v>
      </c>
    </row>
    <row r="6" customFormat="false" ht="15" hidden="false" customHeight="false" outlineLevel="0" collapsed="false">
      <c r="A6" s="23" t="n">
        <f aca="false">COA!A5</f>
        <v>1200</v>
      </c>
      <c r="B6" s="6" t="str">
        <f aca="false">COA!B5</f>
        <v>Trade receivables</v>
      </c>
      <c r="C6" s="6" t="str">
        <f aca="false">COA!C5</f>
        <v>Asset</v>
      </c>
      <c r="D6" s="6" t="str">
        <f aca="false">COA!D5</f>
        <v>Trade and other receivables</v>
      </c>
      <c r="E6" s="16" t="n">
        <f aca="false">SUMIFS(Opening_TB!$C$5:$C$13,Opening_TB!$A$5:$A$13,A6)</f>
        <v>600000</v>
      </c>
      <c r="F6" s="16" t="n">
        <f aca="false">SUMIFS(Purchase_Register!$F$5:$F$94,Purchase_Register!$E$5:$E$94,A6)+(A6=Settings!$B$7)*SUM(Sales_Register!$F$5:$F$65)+SUMIFS(Cash_Book!$G$5:$G$155,Cash_Book!$E$5:$E$155,A6)+(A6=Settings!$B$6)*SUM(Cash_Book!$F$5:$F$155)+SUMIFS(Journals!$E$5:$E$56,Journals!$D$5:$D$56,A6)</f>
        <v>19550000</v>
      </c>
      <c r="G6" s="16" t="n">
        <f aca="false">SUMIFS(Sales_Register!$F$5:$F$65,Sales_Register!$E$5:$E$65,A6)+(A6=Settings!$B$8)*SUM(Purchase_Register!$F$5:$F$94)+SUMIFS(Cash_Book!$F$5:$F$155,Cash_Book!$E$5:$E$155,A6)+(A6=Settings!$B$6)*SUM(Cash_Book!$G$5:$G$155)+SUMIFS(Journals!$F$5:$F$56,Journals!$D$5:$D$56,A6)</f>
        <v>19000000</v>
      </c>
      <c r="H6" s="16" t="n">
        <f aca="false">E6+F6-G6</f>
        <v>1150000</v>
      </c>
      <c r="I6" s="16" t="n">
        <f aca="false">MAX(0,H6)</f>
        <v>1150000</v>
      </c>
      <c r="J6" s="16" t="n">
        <f aca="false">MAX(0,-H6)</f>
        <v>0</v>
      </c>
    </row>
    <row r="7" customFormat="false" ht="15" hidden="false" customHeight="false" outlineLevel="0" collapsed="false">
      <c r="A7" s="23" t="n">
        <f aca="false">COA!A6</f>
        <v>1300</v>
      </c>
      <c r="B7" s="6" t="str">
        <f aca="false">COA!B6</f>
        <v>Prepayments</v>
      </c>
      <c r="C7" s="6" t="str">
        <f aca="false">COA!C6</f>
        <v>Asset</v>
      </c>
      <c r="D7" s="6" t="str">
        <f aca="false">COA!D6</f>
        <v>Prepayments</v>
      </c>
      <c r="E7" s="16" t="n">
        <f aca="false">SUMIFS(Opening_TB!$C$5:$C$13,Opening_TB!$A$5:$A$13,A7)</f>
        <v>0</v>
      </c>
      <c r="F7" s="16" t="n">
        <f aca="false">SUMIFS(Purchase_Register!$F$5:$F$94,Purchase_Register!$E$5:$E$94,A7)+(A7=Settings!$B$7)*SUM(Sales_Register!$F$5:$F$65)+SUMIFS(Cash_Book!$G$5:$G$155,Cash_Book!$E$5:$E$155,A7)+(A7=Settings!$B$6)*SUM(Cash_Book!$F$5:$F$155)+SUMIFS(Journals!$E$5:$E$56,Journals!$D$5:$D$56,A7)</f>
        <v>350000</v>
      </c>
      <c r="G7" s="16" t="n">
        <f aca="false">SUMIFS(Sales_Register!$F$5:$F$65,Sales_Register!$E$5:$E$65,A7)+(A7=Settings!$B$8)*SUM(Purchase_Register!$F$5:$F$94)+SUMIFS(Cash_Book!$F$5:$F$155,Cash_Book!$E$5:$E$155,A7)+(A7=Settings!$B$6)*SUM(Cash_Book!$G$5:$G$155)+SUMIFS(Journals!$F$5:$F$56,Journals!$D$5:$D$56,A7)</f>
        <v>0</v>
      </c>
      <c r="H7" s="16" t="n">
        <f aca="false">E7+F7-G7</f>
        <v>350000</v>
      </c>
      <c r="I7" s="16" t="n">
        <f aca="false">MAX(0,H7)</f>
        <v>350000</v>
      </c>
      <c r="J7" s="16" t="n">
        <f aca="false">MAX(0,-H7)</f>
        <v>0</v>
      </c>
    </row>
    <row r="8" customFormat="false" ht="15" hidden="false" customHeight="false" outlineLevel="0" collapsed="false">
      <c r="A8" s="23" t="n">
        <f aca="false">COA!A7</f>
        <v>1500</v>
      </c>
      <c r="B8" s="6" t="str">
        <f aca="false">COA!B7</f>
        <v>Property, plant and equipment - cost</v>
      </c>
      <c r="C8" s="6" t="str">
        <f aca="false">COA!C7</f>
        <v>Asset</v>
      </c>
      <c r="D8" s="6" t="str">
        <f aca="false">COA!D7</f>
        <v>Property, plant and equipment</v>
      </c>
      <c r="E8" s="16" t="n">
        <f aca="false">SUMIFS(Opening_TB!$C$5:$C$13,Opening_TB!$A$5:$A$13,A8)</f>
        <v>1800000</v>
      </c>
      <c r="F8" s="16" t="n">
        <f aca="false">SUMIFS(Purchase_Register!$F$5:$F$94,Purchase_Register!$E$5:$E$94,A8)+(A8=Settings!$B$7)*SUM(Sales_Register!$F$5:$F$65)+SUMIFS(Cash_Book!$G$5:$G$155,Cash_Book!$E$5:$E$155,A8)+(A8=Settings!$B$6)*SUM(Cash_Book!$F$5:$F$155)+SUMIFS(Journals!$E$5:$E$56,Journals!$D$5:$D$56,A8)</f>
        <v>3230000</v>
      </c>
      <c r="G8" s="16" t="n">
        <f aca="false">SUMIFS(Sales_Register!$F$5:$F$65,Sales_Register!$E$5:$E$65,A8)+(A8=Settings!$B$8)*SUM(Purchase_Register!$F$5:$F$94)+SUMIFS(Cash_Book!$F$5:$F$155,Cash_Book!$E$5:$E$155,A8)+(A8=Settings!$B$6)*SUM(Cash_Book!$G$5:$G$155)+SUMIFS(Journals!$F$5:$F$56,Journals!$D$5:$D$56,A8)</f>
        <v>0</v>
      </c>
      <c r="H8" s="16" t="n">
        <f aca="false">E8+F8-G8</f>
        <v>5030000</v>
      </c>
      <c r="I8" s="16" t="n">
        <f aca="false">MAX(0,H8)</f>
        <v>5030000</v>
      </c>
      <c r="J8" s="16" t="n">
        <f aca="false">MAX(0,-H8)</f>
        <v>0</v>
      </c>
    </row>
    <row r="9" customFormat="false" ht="15" hidden="false" customHeight="false" outlineLevel="0" collapsed="false">
      <c r="A9" s="23" t="n">
        <f aca="false">COA!A8</f>
        <v>1510</v>
      </c>
      <c r="B9" s="6" t="str">
        <f aca="false">COA!B8</f>
        <v>Property, plant and equipment - accumulated depreciation</v>
      </c>
      <c r="C9" s="6" t="str">
        <f aca="false">COA!C8</f>
        <v>Asset</v>
      </c>
      <c r="D9" s="6" t="str">
        <f aca="false">COA!D8</f>
        <v>Property, plant and equipment</v>
      </c>
      <c r="E9" s="16" t="n">
        <f aca="false">SUMIFS(Opening_TB!$C$5:$C$13,Opening_TB!$A$5:$A$13,A9)</f>
        <v>-600000</v>
      </c>
      <c r="F9" s="16" t="n">
        <f aca="false">SUMIFS(Purchase_Register!$F$5:$F$94,Purchase_Register!$E$5:$E$94,A9)+(A9=Settings!$B$7)*SUM(Sales_Register!$F$5:$F$65)+SUMIFS(Cash_Book!$G$5:$G$155,Cash_Book!$E$5:$E$155,A9)+(A9=Settings!$B$6)*SUM(Cash_Book!$F$5:$F$155)+SUMIFS(Journals!$E$5:$E$56,Journals!$D$5:$D$56,A9)</f>
        <v>0</v>
      </c>
      <c r="G9" s="16" t="n">
        <f aca="false">SUMIFS(Sales_Register!$F$5:$F$65,Sales_Register!$E$5:$E$65,A9)+(A9=Settings!$B$8)*SUM(Purchase_Register!$F$5:$F$94)+SUMIFS(Cash_Book!$F$5:$F$155,Cash_Book!$E$5:$E$155,A9)+(A9=Settings!$B$6)*SUM(Cash_Book!$G$5:$G$155)+SUMIFS(Journals!$F$5:$F$56,Journals!$D$5:$D$56,A9)</f>
        <v>1090000</v>
      </c>
      <c r="H9" s="16" t="n">
        <f aca="false">E9+F9-G9</f>
        <v>-1690000</v>
      </c>
      <c r="I9" s="16" t="n">
        <f aca="false">MAX(0,H9)</f>
        <v>0</v>
      </c>
      <c r="J9" s="16" t="n">
        <f aca="false">MAX(0,-H9)</f>
        <v>1690000</v>
      </c>
    </row>
    <row r="10" customFormat="false" ht="15" hidden="false" customHeight="false" outlineLevel="0" collapsed="false">
      <c r="A10" s="23" t="n">
        <f aca="false">COA!A9</f>
        <v>2100</v>
      </c>
      <c r="B10" s="6" t="str">
        <f aca="false">COA!B9</f>
        <v>Trade payables</v>
      </c>
      <c r="C10" s="6" t="str">
        <f aca="false">COA!C9</f>
        <v>Liability</v>
      </c>
      <c r="D10" s="6" t="str">
        <f aca="false">COA!D9</f>
        <v>Trade and other payables</v>
      </c>
      <c r="E10" s="16" t="n">
        <f aca="false">SUMIFS(Opening_TB!$C$5:$C$13,Opening_TB!$A$5:$A$13,A10)</f>
        <v>-250000</v>
      </c>
      <c r="F10" s="16" t="n">
        <f aca="false">SUMIFS(Purchase_Register!$F$5:$F$94,Purchase_Register!$E$5:$E$94,A10)+(A10=Settings!$B$7)*SUM(Sales_Register!$F$5:$F$65)+SUMIFS(Cash_Book!$G$5:$G$155,Cash_Book!$E$5:$E$155,A10)+(A10=Settings!$B$6)*SUM(Cash_Book!$F$5:$F$155)+SUMIFS(Journals!$E$5:$E$56,Journals!$D$5:$D$56,A10)</f>
        <v>11315000</v>
      </c>
      <c r="G10" s="16" t="n">
        <f aca="false">SUMIFS(Sales_Register!$F$5:$F$65,Sales_Register!$E$5:$E$65,A10)+(A10=Settings!$B$8)*SUM(Purchase_Register!$F$5:$F$94)+SUMIFS(Cash_Book!$F$5:$F$155,Cash_Book!$E$5:$E$155,A10)+(A10=Settings!$B$6)*SUM(Cash_Book!$G$5:$G$155)+SUMIFS(Journals!$F$5:$F$56,Journals!$D$5:$D$56,A10)</f>
        <v>11565000</v>
      </c>
      <c r="H10" s="16" t="n">
        <f aca="false">E10+F10-G10</f>
        <v>-500000</v>
      </c>
      <c r="I10" s="16" t="n">
        <f aca="false">MAX(0,H10)</f>
        <v>0</v>
      </c>
      <c r="J10" s="16" t="n">
        <f aca="false">MAX(0,-H10)</f>
        <v>500000</v>
      </c>
    </row>
    <row r="11" customFormat="false" ht="15" hidden="false" customHeight="false" outlineLevel="0" collapsed="false">
      <c r="A11" s="23" t="n">
        <f aca="false">COA!A10</f>
        <v>2200</v>
      </c>
      <c r="B11" s="6" t="str">
        <f aca="false">COA!B10</f>
        <v>Accrued expenses</v>
      </c>
      <c r="C11" s="6" t="str">
        <f aca="false">COA!C10</f>
        <v>Liability</v>
      </c>
      <c r="D11" s="6" t="str">
        <f aca="false">COA!D10</f>
        <v>Trade and other payables</v>
      </c>
      <c r="E11" s="16" t="n">
        <f aca="false">SUMIFS(Opening_TB!$C$5:$C$13,Opening_TB!$A$5:$A$13,A11)</f>
        <v>0</v>
      </c>
      <c r="F11" s="16" t="n">
        <f aca="false">SUMIFS(Purchase_Register!$F$5:$F$94,Purchase_Register!$E$5:$E$94,A11)+(A11=Settings!$B$7)*SUM(Sales_Register!$F$5:$F$65)+SUMIFS(Cash_Book!$G$5:$G$155,Cash_Book!$E$5:$E$155,A11)+(A11=Settings!$B$6)*SUM(Cash_Book!$F$5:$F$155)+SUMIFS(Journals!$E$5:$E$56,Journals!$D$5:$D$56,A11)</f>
        <v>0</v>
      </c>
      <c r="G11" s="16" t="n">
        <f aca="false">SUMIFS(Sales_Register!$F$5:$F$65,Sales_Register!$E$5:$E$65,A11)+(A11=Settings!$B$8)*SUM(Purchase_Register!$F$5:$F$94)+SUMIFS(Cash_Book!$F$5:$F$155,Cash_Book!$E$5:$E$155,A11)+(A11=Settings!$B$6)*SUM(Cash_Book!$G$5:$G$155)+SUMIFS(Journals!$F$5:$F$56,Journals!$D$5:$D$56,A11)</f>
        <v>85000</v>
      </c>
      <c r="H11" s="16" t="n">
        <f aca="false">E11+F11-G11</f>
        <v>-85000</v>
      </c>
      <c r="I11" s="16" t="n">
        <f aca="false">MAX(0,H11)</f>
        <v>0</v>
      </c>
      <c r="J11" s="16" t="n">
        <f aca="false">MAX(0,-H11)</f>
        <v>85000</v>
      </c>
    </row>
    <row r="12" customFormat="false" ht="15" hidden="false" customHeight="false" outlineLevel="0" collapsed="false">
      <c r="A12" s="23" t="n">
        <f aca="false">COA!A11</f>
        <v>2300</v>
      </c>
      <c r="B12" s="6" t="str">
        <f aca="false">COA!B11</f>
        <v>Income tax payable</v>
      </c>
      <c r="C12" s="6" t="str">
        <f aca="false">COA!C11</f>
        <v>Liability</v>
      </c>
      <c r="D12" s="6" t="str">
        <f aca="false">COA!D11</f>
        <v>Current income tax liability</v>
      </c>
      <c r="E12" s="16" t="n">
        <f aca="false">SUMIFS(Opening_TB!$C$5:$C$13,Opening_TB!$A$5:$A$13,A12)</f>
        <v>-180000</v>
      </c>
      <c r="F12" s="16" t="n">
        <f aca="false">SUMIFS(Purchase_Register!$F$5:$F$94,Purchase_Register!$E$5:$E$94,A12)+(A12=Settings!$B$7)*SUM(Sales_Register!$F$5:$F$65)+SUMIFS(Cash_Book!$G$5:$G$155,Cash_Book!$E$5:$E$155,A12)+(A12=Settings!$B$6)*SUM(Cash_Book!$F$5:$F$155)+SUMIFS(Journals!$E$5:$E$56,Journals!$D$5:$D$56,A12)</f>
        <v>315000</v>
      </c>
      <c r="G12" s="16" t="n">
        <f aca="false">SUMIFS(Sales_Register!$F$5:$F$65,Sales_Register!$E$5:$E$65,A12)+(A12=Settings!$B$8)*SUM(Purchase_Register!$F$5:$F$94)+SUMIFS(Cash_Book!$F$5:$F$155,Cash_Book!$E$5:$E$155,A12)+(A12=Settings!$B$6)*SUM(Cash_Book!$G$5:$G$155)+SUMIFS(Journals!$F$5:$F$56,Journals!$D$5:$D$56,A12)</f>
        <v>180488</v>
      </c>
      <c r="H12" s="16" t="n">
        <f aca="false">E12+F12-G12</f>
        <v>-45488</v>
      </c>
      <c r="I12" s="16" t="n">
        <f aca="false">MAX(0,H12)</f>
        <v>0</v>
      </c>
      <c r="J12" s="16" t="n">
        <f aca="false">MAX(0,-H12)</f>
        <v>45488</v>
      </c>
    </row>
    <row r="13" customFormat="false" ht="15" hidden="false" customHeight="false" outlineLevel="0" collapsed="false">
      <c r="A13" s="23" t="n">
        <f aca="false">COA!A12</f>
        <v>2400</v>
      </c>
      <c r="B13" s="6" t="str">
        <f aca="false">COA!B12</f>
        <v>PAYE and RSSB contributions payable</v>
      </c>
      <c r="C13" s="6" t="str">
        <f aca="false">COA!C12</f>
        <v>Liability</v>
      </c>
      <c r="D13" s="6" t="str">
        <f aca="false">COA!D12</f>
        <v>PAYE and social security payable</v>
      </c>
      <c r="E13" s="16" t="n">
        <f aca="false">SUMIFS(Opening_TB!$C$5:$C$13,Opening_TB!$A$5:$A$13,A13)</f>
        <v>0</v>
      </c>
      <c r="F13" s="16" t="n">
        <f aca="false">SUMIFS(Purchase_Register!$F$5:$F$94,Purchase_Register!$E$5:$E$94,A13)+(A13=Settings!$B$7)*SUM(Sales_Register!$F$5:$F$65)+SUMIFS(Cash_Book!$G$5:$G$155,Cash_Book!$E$5:$E$155,A13)+(A13=Settings!$B$6)*SUM(Cash_Book!$F$5:$F$155)+SUMIFS(Journals!$E$5:$E$56,Journals!$D$5:$D$56,A13)</f>
        <v>1582394</v>
      </c>
      <c r="G13" s="16" t="n">
        <f aca="false">SUMIFS(Sales_Register!$F$5:$F$65,Sales_Register!$E$5:$E$65,A13)+(A13=Settings!$B$8)*SUM(Purchase_Register!$F$5:$F$94)+SUMIFS(Cash_Book!$F$5:$F$155,Cash_Book!$E$5:$E$155,A13)+(A13=Settings!$B$6)*SUM(Cash_Book!$G$5:$G$155)+SUMIFS(Journals!$F$5:$F$56,Journals!$D$5:$D$56,A13)</f>
        <v>1726248</v>
      </c>
      <c r="H13" s="16" t="n">
        <f aca="false">E13+F13-G13</f>
        <v>-143854</v>
      </c>
      <c r="I13" s="16" t="n">
        <f aca="false">MAX(0,H13)</f>
        <v>0</v>
      </c>
      <c r="J13" s="16" t="n">
        <f aca="false">MAX(0,-H13)</f>
        <v>143854</v>
      </c>
    </row>
    <row r="14" customFormat="false" ht="15" hidden="false" customHeight="false" outlineLevel="0" collapsed="false">
      <c r="A14" s="23" t="n">
        <f aca="false">COA!A13</f>
        <v>2410</v>
      </c>
      <c r="B14" s="6" t="str">
        <f aca="false">COA!B13</f>
        <v>Net salaries payable</v>
      </c>
      <c r="C14" s="6" t="str">
        <f aca="false">COA!C13</f>
        <v>Liability</v>
      </c>
      <c r="D14" s="6" t="str">
        <f aca="false">COA!D13</f>
        <v>Trade and other payables</v>
      </c>
      <c r="E14" s="16" t="n">
        <f aca="false">SUMIFS(Opening_TB!$C$5:$C$13,Opening_TB!$A$5:$A$13,A14)</f>
        <v>0</v>
      </c>
      <c r="F14" s="16" t="n">
        <f aca="false">SUMIFS(Purchase_Register!$F$5:$F$94,Purchase_Register!$E$5:$E$94,A14)+(A14=Settings!$B$7)*SUM(Sales_Register!$F$5:$F$65)+SUMIFS(Cash_Book!$G$5:$G$155,Cash_Book!$E$5:$E$155,A14)+(A14=Settings!$B$6)*SUM(Cash_Book!$F$5:$F$155)+SUMIFS(Journals!$E$5:$E$56,Journals!$D$5:$D$56,A14)</f>
        <v>3472152</v>
      </c>
      <c r="G14" s="16" t="n">
        <f aca="false">SUMIFS(Sales_Register!$F$5:$F$65,Sales_Register!$E$5:$E$65,A14)+(A14=Settings!$B$8)*SUM(Purchase_Register!$F$5:$F$94)+SUMIFS(Cash_Book!$F$5:$F$155,Cash_Book!$E$5:$E$155,A14)+(A14=Settings!$B$6)*SUM(Cash_Book!$G$5:$G$155)+SUMIFS(Journals!$F$5:$F$56,Journals!$D$5:$D$56,A14)</f>
        <v>3472152</v>
      </c>
      <c r="H14" s="16" t="n">
        <f aca="false">E14+F14-G14</f>
        <v>0</v>
      </c>
      <c r="I14" s="16" t="n">
        <f aca="false">MAX(0,H14)</f>
        <v>0</v>
      </c>
      <c r="J14" s="16" t="n">
        <f aca="false">MAX(0,-H14)</f>
        <v>-0</v>
      </c>
    </row>
    <row r="15" customFormat="false" ht="15" hidden="false" customHeight="false" outlineLevel="0" collapsed="false">
      <c r="A15" s="23" t="n">
        <f aca="false">COA!A14</f>
        <v>2500</v>
      </c>
      <c r="B15" s="6" t="str">
        <f aca="false">COA!B14</f>
        <v>Bank loan</v>
      </c>
      <c r="C15" s="6" t="str">
        <f aca="false">COA!C14</f>
        <v>Liability</v>
      </c>
      <c r="D15" s="6" t="str">
        <f aca="false">COA!D14</f>
        <v>Borrowings</v>
      </c>
      <c r="E15" s="16" t="n">
        <f aca="false">SUMIFS(Opening_TB!$C$5:$C$13,Opening_TB!$A$5:$A$13,A15)</f>
        <v>0</v>
      </c>
      <c r="F15" s="16" t="n">
        <f aca="false">SUMIFS(Purchase_Register!$F$5:$F$94,Purchase_Register!$E$5:$E$94,A15)+(A15=Settings!$B$7)*SUM(Sales_Register!$F$5:$F$65)+SUMIFS(Cash_Book!$G$5:$G$155,Cash_Book!$E$5:$E$155,A15)+(A15=Settings!$B$6)*SUM(Cash_Book!$F$5:$F$155)+SUMIFS(Journals!$E$5:$E$56,Journals!$D$5:$D$56,A15)</f>
        <v>600000</v>
      </c>
      <c r="G15" s="16" t="n">
        <f aca="false">SUMIFS(Sales_Register!$F$5:$F$65,Sales_Register!$E$5:$E$65,A15)+(A15=Settings!$B$8)*SUM(Purchase_Register!$F$5:$F$94)+SUMIFS(Cash_Book!$F$5:$F$155,Cash_Book!$E$5:$E$155,A15)+(A15=Settings!$B$6)*SUM(Cash_Book!$G$5:$G$155)+SUMIFS(Journals!$F$5:$F$56,Journals!$D$5:$D$56,A15)</f>
        <v>2400000</v>
      </c>
      <c r="H15" s="16" t="n">
        <f aca="false">E15+F15-G15</f>
        <v>-1800000</v>
      </c>
      <c r="I15" s="16" t="n">
        <f aca="false">MAX(0,H15)</f>
        <v>0</v>
      </c>
      <c r="J15" s="16" t="n">
        <f aca="false">MAX(0,-H15)</f>
        <v>1800000</v>
      </c>
    </row>
    <row r="16" customFormat="false" ht="15" hidden="false" customHeight="false" outlineLevel="0" collapsed="false">
      <c r="A16" s="23" t="n">
        <f aca="false">COA!A15</f>
        <v>2700</v>
      </c>
      <c r="B16" s="6" t="str">
        <f aca="false">COA!B15</f>
        <v>Deferred tax liability</v>
      </c>
      <c r="C16" s="6" t="str">
        <f aca="false">COA!C15</f>
        <v>Liability</v>
      </c>
      <c r="D16" s="6" t="str">
        <f aca="false">COA!D15</f>
        <v>Deferred tax liability</v>
      </c>
      <c r="E16" s="16" t="n">
        <f aca="false">SUMIFS(Opening_TB!$C$5:$C$13,Opening_TB!$A$5:$A$13,A16)</f>
        <v>-84000</v>
      </c>
      <c r="F16" s="16" t="n">
        <f aca="false">SUMIFS(Purchase_Register!$F$5:$F$94,Purchase_Register!$E$5:$E$94,A16)+(A16=Settings!$B$7)*SUM(Sales_Register!$F$5:$F$65)+SUMIFS(Cash_Book!$G$5:$G$155,Cash_Book!$E$5:$E$155,A16)+(A16=Settings!$B$6)*SUM(Cash_Book!$F$5:$F$155)+SUMIFS(Journals!$E$5:$E$56,Journals!$D$5:$D$56,A16)</f>
        <v>0</v>
      </c>
      <c r="G16" s="16" t="n">
        <f aca="false">SUMIFS(Sales_Register!$F$5:$F$65,Sales_Register!$E$5:$E$65,A16)+(A16=Settings!$B$8)*SUM(Purchase_Register!$F$5:$F$94)+SUMIFS(Cash_Book!$F$5:$F$155,Cash_Book!$E$5:$E$155,A16)+(A16=Settings!$B$6)*SUM(Cash_Book!$G$5:$G$155)+SUMIFS(Journals!$F$5:$F$56,Journals!$D$5:$D$56,A16)</f>
        <v>133000</v>
      </c>
      <c r="H16" s="16" t="n">
        <f aca="false">E16+F16-G16</f>
        <v>-217000</v>
      </c>
      <c r="I16" s="16" t="n">
        <f aca="false">MAX(0,H16)</f>
        <v>0</v>
      </c>
      <c r="J16" s="16" t="n">
        <f aca="false">MAX(0,-H16)</f>
        <v>217000</v>
      </c>
    </row>
    <row r="17" customFormat="false" ht="15" hidden="false" customHeight="false" outlineLevel="0" collapsed="false">
      <c r="A17" s="23" t="n">
        <f aca="false">COA!A16</f>
        <v>3000</v>
      </c>
      <c r="B17" s="6" t="str">
        <f aca="false">COA!B16</f>
        <v>Share capital</v>
      </c>
      <c r="C17" s="6" t="str">
        <f aca="false">COA!C16</f>
        <v>Equity</v>
      </c>
      <c r="D17" s="6" t="str">
        <f aca="false">COA!D16</f>
        <v>Share capital</v>
      </c>
      <c r="E17" s="16" t="n">
        <f aca="false">SUMIFS(Opening_TB!$C$5:$C$13,Opening_TB!$A$5:$A$13,A17)</f>
        <v>-1000000</v>
      </c>
      <c r="F17" s="16" t="n">
        <f aca="false">SUMIFS(Purchase_Register!$F$5:$F$94,Purchase_Register!$E$5:$E$94,A17)+(A17=Settings!$B$7)*SUM(Sales_Register!$F$5:$F$65)+SUMIFS(Cash_Book!$G$5:$G$155,Cash_Book!$E$5:$E$155,A17)+(A17=Settings!$B$6)*SUM(Cash_Book!$F$5:$F$155)+SUMIFS(Journals!$E$5:$E$56,Journals!$D$5:$D$56,A17)</f>
        <v>0</v>
      </c>
      <c r="G17" s="16" t="n">
        <f aca="false">SUMIFS(Sales_Register!$F$5:$F$65,Sales_Register!$E$5:$E$65,A17)+(A17=Settings!$B$8)*SUM(Purchase_Register!$F$5:$F$94)+SUMIFS(Cash_Book!$F$5:$F$155,Cash_Book!$E$5:$E$155,A17)+(A17=Settings!$B$6)*SUM(Cash_Book!$G$5:$G$155)+SUMIFS(Journals!$F$5:$F$56,Journals!$D$5:$D$56,A17)</f>
        <v>0</v>
      </c>
      <c r="H17" s="16" t="n">
        <f aca="false">E17+F17-G17</f>
        <v>-1000000</v>
      </c>
      <c r="I17" s="16" t="n">
        <f aca="false">MAX(0,H17)</f>
        <v>0</v>
      </c>
      <c r="J17" s="16" t="n">
        <f aca="false">MAX(0,-H17)</f>
        <v>1000000</v>
      </c>
    </row>
    <row r="18" customFormat="false" ht="15" hidden="false" customHeight="false" outlineLevel="0" collapsed="false">
      <c r="A18" s="23" t="n">
        <f aca="false">COA!A17</f>
        <v>3100</v>
      </c>
      <c r="B18" s="6" t="str">
        <f aca="false">COA!B17</f>
        <v>Retained earnings</v>
      </c>
      <c r="C18" s="6" t="str">
        <f aca="false">COA!C17</f>
        <v>Equity</v>
      </c>
      <c r="D18" s="6" t="str">
        <f aca="false">COA!D17</f>
        <v>Retained earnings</v>
      </c>
      <c r="E18" s="16" t="n">
        <f aca="false">SUMIFS(Opening_TB!$C$5:$C$13,Opening_TB!$A$5:$A$13,A18)</f>
        <v>-1786000</v>
      </c>
      <c r="F18" s="16" t="n">
        <f aca="false">SUMIFS(Purchase_Register!$F$5:$F$94,Purchase_Register!$E$5:$E$94,A18)+(A18=Settings!$B$7)*SUM(Sales_Register!$F$5:$F$65)+SUMIFS(Cash_Book!$G$5:$G$155,Cash_Book!$E$5:$E$155,A18)+(A18=Settings!$B$6)*SUM(Cash_Book!$F$5:$F$155)+SUMIFS(Journals!$E$5:$E$56,Journals!$D$5:$D$56,A18)</f>
        <v>0</v>
      </c>
      <c r="G18" s="16" t="n">
        <f aca="false">SUMIFS(Sales_Register!$F$5:$F$65,Sales_Register!$E$5:$E$65,A18)+(A18=Settings!$B$8)*SUM(Purchase_Register!$F$5:$F$94)+SUMIFS(Cash_Book!$F$5:$F$155,Cash_Book!$E$5:$E$155,A18)+(A18=Settings!$B$6)*SUM(Cash_Book!$G$5:$G$155)+SUMIFS(Journals!$F$5:$F$56,Journals!$D$5:$D$56,A18)</f>
        <v>0</v>
      </c>
      <c r="H18" s="16" t="n">
        <f aca="false">E18+F18-G18</f>
        <v>-1786000</v>
      </c>
      <c r="I18" s="16" t="n">
        <f aca="false">MAX(0,H18)</f>
        <v>0</v>
      </c>
      <c r="J18" s="16" t="n">
        <f aca="false">MAX(0,-H18)</f>
        <v>1786000</v>
      </c>
    </row>
    <row r="19" customFormat="false" ht="15" hidden="false" customHeight="false" outlineLevel="0" collapsed="false">
      <c r="A19" s="23" t="n">
        <f aca="false">COA!A18</f>
        <v>3200</v>
      </c>
      <c r="B19" s="6" t="str">
        <f aca="false">COA!B18</f>
        <v>Dividends</v>
      </c>
      <c r="C19" s="6" t="str">
        <f aca="false">COA!C18</f>
        <v>Equity</v>
      </c>
      <c r="D19" s="6" t="str">
        <f aca="false">COA!D18</f>
        <v>Retained earnings</v>
      </c>
      <c r="E19" s="16" t="n">
        <f aca="false">SUMIFS(Opening_TB!$C$5:$C$13,Opening_TB!$A$5:$A$13,A19)</f>
        <v>0</v>
      </c>
      <c r="F19" s="16" t="n">
        <f aca="false">SUMIFS(Purchase_Register!$F$5:$F$94,Purchase_Register!$E$5:$E$94,A19)+(A19=Settings!$B$7)*SUM(Sales_Register!$F$5:$F$65)+SUMIFS(Cash_Book!$G$5:$G$155,Cash_Book!$E$5:$E$155,A19)+(A19=Settings!$B$6)*SUM(Cash_Book!$F$5:$F$155)+SUMIFS(Journals!$E$5:$E$56,Journals!$D$5:$D$56,A19)</f>
        <v>400000</v>
      </c>
      <c r="G19" s="16" t="n">
        <f aca="false">SUMIFS(Sales_Register!$F$5:$F$65,Sales_Register!$E$5:$E$65,A19)+(A19=Settings!$B$8)*SUM(Purchase_Register!$F$5:$F$94)+SUMIFS(Cash_Book!$F$5:$F$155,Cash_Book!$E$5:$E$155,A19)+(A19=Settings!$B$6)*SUM(Cash_Book!$G$5:$G$155)+SUMIFS(Journals!$F$5:$F$56,Journals!$D$5:$D$56,A19)</f>
        <v>0</v>
      </c>
      <c r="H19" s="16" t="n">
        <f aca="false">E19+F19-G19</f>
        <v>400000</v>
      </c>
      <c r="I19" s="16" t="n">
        <f aca="false">MAX(0,H19)</f>
        <v>400000</v>
      </c>
      <c r="J19" s="16" t="n">
        <f aca="false">MAX(0,-H19)</f>
        <v>0</v>
      </c>
    </row>
    <row r="20" customFormat="false" ht="15" hidden="false" customHeight="false" outlineLevel="0" collapsed="false">
      <c r="A20" s="23" t="n">
        <f aca="false">COA!A19</f>
        <v>4000</v>
      </c>
      <c r="B20" s="6" t="str">
        <f aca="false">COA!B19</f>
        <v>Software development services</v>
      </c>
      <c r="C20" s="6" t="str">
        <f aca="false">COA!C19</f>
        <v>Income</v>
      </c>
      <c r="D20" s="6" t="str">
        <f aca="false">COA!D19</f>
        <v>Revenue</v>
      </c>
      <c r="E20" s="16" t="n">
        <f aca="false">SUMIFS(Opening_TB!$C$5:$C$13,Opening_TB!$A$5:$A$13,A20)</f>
        <v>0</v>
      </c>
      <c r="F20" s="16" t="n">
        <f aca="false">SUMIFS(Purchase_Register!$F$5:$F$94,Purchase_Register!$E$5:$E$94,A20)+(A20=Settings!$B$7)*SUM(Sales_Register!$F$5:$F$65)+SUMIFS(Cash_Book!$G$5:$G$155,Cash_Book!$E$5:$E$155,A20)+(A20=Settings!$B$6)*SUM(Cash_Book!$F$5:$F$155)+SUMIFS(Journals!$E$5:$E$56,Journals!$D$5:$D$56,A20)</f>
        <v>0</v>
      </c>
      <c r="G20" s="16" t="n">
        <f aca="false">SUMIFS(Sales_Register!$F$5:$F$65,Sales_Register!$E$5:$E$65,A20)+(A20=Settings!$B$8)*SUM(Purchase_Register!$F$5:$F$94)+SUMIFS(Cash_Book!$F$5:$F$155,Cash_Book!$E$5:$E$155,A20)+(A20=Settings!$B$6)*SUM(Cash_Book!$G$5:$G$155)+SUMIFS(Journals!$F$5:$F$56,Journals!$D$5:$D$56,A20)</f>
        <v>9300000</v>
      </c>
      <c r="H20" s="16" t="n">
        <f aca="false">E20+F20-G20</f>
        <v>-9300000</v>
      </c>
      <c r="I20" s="16" t="n">
        <f aca="false">MAX(0,H20)</f>
        <v>0</v>
      </c>
      <c r="J20" s="16" t="n">
        <f aca="false">MAX(0,-H20)</f>
        <v>9300000</v>
      </c>
    </row>
    <row r="21" customFormat="false" ht="15" hidden="false" customHeight="false" outlineLevel="0" collapsed="false">
      <c r="A21" s="23" t="n">
        <f aca="false">COA!A20</f>
        <v>4100</v>
      </c>
      <c r="B21" s="6" t="str">
        <f aca="false">COA!B20</f>
        <v>IT support and maintenance</v>
      </c>
      <c r="C21" s="6" t="str">
        <f aca="false">COA!C20</f>
        <v>Income</v>
      </c>
      <c r="D21" s="6" t="str">
        <f aca="false">COA!D20</f>
        <v>Revenue</v>
      </c>
      <c r="E21" s="16" t="n">
        <f aca="false">SUMIFS(Opening_TB!$C$5:$C$13,Opening_TB!$A$5:$A$13,A21)</f>
        <v>0</v>
      </c>
      <c r="F21" s="16" t="n">
        <f aca="false">SUMIFS(Purchase_Register!$F$5:$F$94,Purchase_Register!$E$5:$E$94,A21)+(A21=Settings!$B$7)*SUM(Sales_Register!$F$5:$F$65)+SUMIFS(Cash_Book!$G$5:$G$155,Cash_Book!$E$5:$E$155,A21)+(A21=Settings!$B$6)*SUM(Cash_Book!$F$5:$F$155)+SUMIFS(Journals!$E$5:$E$56,Journals!$D$5:$D$56,A21)</f>
        <v>0</v>
      </c>
      <c r="G21" s="16" t="n">
        <f aca="false">SUMIFS(Sales_Register!$F$5:$F$65,Sales_Register!$E$5:$E$65,A21)+(A21=Settings!$B$8)*SUM(Purchase_Register!$F$5:$F$94)+SUMIFS(Cash_Book!$F$5:$F$155,Cash_Book!$E$5:$E$155,A21)+(A21=Settings!$B$6)*SUM(Cash_Book!$G$5:$G$155)+SUMIFS(Journals!$F$5:$F$56,Journals!$D$5:$D$56,A21)</f>
        <v>7200000</v>
      </c>
      <c r="H21" s="16" t="n">
        <f aca="false">E21+F21-G21</f>
        <v>-7200000</v>
      </c>
      <c r="I21" s="16" t="n">
        <f aca="false">MAX(0,H21)</f>
        <v>0</v>
      </c>
      <c r="J21" s="16" t="n">
        <f aca="false">MAX(0,-H21)</f>
        <v>7200000</v>
      </c>
    </row>
    <row r="22" customFormat="false" ht="15" hidden="false" customHeight="false" outlineLevel="0" collapsed="false">
      <c r="A22" s="23" t="n">
        <f aca="false">COA!A21</f>
        <v>4200</v>
      </c>
      <c r="B22" s="6" t="str">
        <f aca="false">COA!B21</f>
        <v>Training fees</v>
      </c>
      <c r="C22" s="6" t="str">
        <f aca="false">COA!C21</f>
        <v>Income</v>
      </c>
      <c r="D22" s="6" t="str">
        <f aca="false">COA!D21</f>
        <v>Revenue</v>
      </c>
      <c r="E22" s="16" t="n">
        <f aca="false">SUMIFS(Opening_TB!$C$5:$C$13,Opening_TB!$A$5:$A$13,A22)</f>
        <v>0</v>
      </c>
      <c r="F22" s="16" t="n">
        <f aca="false">SUMIFS(Purchase_Register!$F$5:$F$94,Purchase_Register!$E$5:$E$94,A22)+(A22=Settings!$B$7)*SUM(Sales_Register!$F$5:$F$65)+SUMIFS(Cash_Book!$G$5:$G$155,Cash_Book!$E$5:$E$155,A22)+(A22=Settings!$B$6)*SUM(Cash_Book!$F$5:$F$155)+SUMIFS(Journals!$E$5:$E$56,Journals!$D$5:$D$56,A22)</f>
        <v>0</v>
      </c>
      <c r="G22" s="16" t="n">
        <f aca="false">SUMIFS(Sales_Register!$F$5:$F$65,Sales_Register!$E$5:$E$65,A22)+(A22=Settings!$B$8)*SUM(Purchase_Register!$F$5:$F$94)+SUMIFS(Cash_Book!$F$5:$F$155,Cash_Book!$E$5:$E$155,A22)+(A22=Settings!$B$6)*SUM(Cash_Book!$G$5:$G$155)+SUMIFS(Journals!$F$5:$F$56,Journals!$D$5:$D$56,A22)</f>
        <v>3050000</v>
      </c>
      <c r="H22" s="16" t="n">
        <f aca="false">E22+F22-G22</f>
        <v>-3050000</v>
      </c>
      <c r="I22" s="16" t="n">
        <f aca="false">MAX(0,H22)</f>
        <v>0</v>
      </c>
      <c r="J22" s="16" t="n">
        <f aca="false">MAX(0,-H22)</f>
        <v>3050000</v>
      </c>
    </row>
    <row r="23" customFormat="false" ht="15" hidden="false" customHeight="false" outlineLevel="0" collapsed="false">
      <c r="A23" s="23" t="n">
        <f aca="false">COA!A22</f>
        <v>4300</v>
      </c>
      <c r="B23" s="6" t="str">
        <f aca="false">COA!B22</f>
        <v>Other income</v>
      </c>
      <c r="C23" s="6" t="str">
        <f aca="false">COA!C22</f>
        <v>Income</v>
      </c>
      <c r="D23" s="6" t="str">
        <f aca="false">COA!D22</f>
        <v>Other income</v>
      </c>
      <c r="E23" s="16" t="n">
        <f aca="false">SUMIFS(Opening_TB!$C$5:$C$13,Opening_TB!$A$5:$A$13,A23)</f>
        <v>0</v>
      </c>
      <c r="F23" s="16" t="n">
        <f aca="false">SUMIFS(Purchase_Register!$F$5:$F$94,Purchase_Register!$E$5:$E$94,A23)+(A23=Settings!$B$7)*SUM(Sales_Register!$F$5:$F$65)+SUMIFS(Cash_Book!$G$5:$G$155,Cash_Book!$E$5:$E$155,A23)+(A23=Settings!$B$6)*SUM(Cash_Book!$F$5:$F$155)+SUMIFS(Journals!$E$5:$E$56,Journals!$D$5:$D$56,A23)</f>
        <v>0</v>
      </c>
      <c r="G23" s="16" t="n">
        <f aca="false">SUMIFS(Sales_Register!$F$5:$F$65,Sales_Register!$E$5:$E$65,A23)+(A23=Settings!$B$8)*SUM(Purchase_Register!$F$5:$F$94)+SUMIFS(Cash_Book!$F$5:$F$155,Cash_Book!$E$5:$E$155,A23)+(A23=Settings!$B$6)*SUM(Cash_Book!$G$5:$G$155)+SUMIFS(Journals!$F$5:$F$56,Journals!$D$5:$D$56,A23)</f>
        <v>0</v>
      </c>
      <c r="H23" s="16" t="n">
        <f aca="false">E23+F23-G23</f>
        <v>0</v>
      </c>
      <c r="I23" s="16" t="n">
        <f aca="false">MAX(0,H23)</f>
        <v>0</v>
      </c>
      <c r="J23" s="16" t="n">
        <f aca="false">MAX(0,-H23)</f>
        <v>-0</v>
      </c>
    </row>
    <row r="24" customFormat="false" ht="15" hidden="false" customHeight="false" outlineLevel="0" collapsed="false">
      <c r="A24" s="23" t="n">
        <f aca="false">COA!A23</f>
        <v>5000</v>
      </c>
      <c r="B24" s="6" t="str">
        <f aca="false">COA!B23</f>
        <v>Contractor costs</v>
      </c>
      <c r="C24" s="6" t="str">
        <f aca="false">COA!C23</f>
        <v>Expense</v>
      </c>
      <c r="D24" s="6" t="str">
        <f aca="false">COA!D23</f>
        <v>Cost of sales</v>
      </c>
      <c r="E24" s="16" t="n">
        <f aca="false">SUMIFS(Opening_TB!$C$5:$C$13,Opening_TB!$A$5:$A$13,A24)</f>
        <v>0</v>
      </c>
      <c r="F24" s="16" t="n">
        <f aca="false">SUMIFS(Purchase_Register!$F$5:$F$94,Purchase_Register!$E$5:$E$94,A24)+(A24=Settings!$B$7)*SUM(Sales_Register!$F$5:$F$65)+SUMIFS(Cash_Book!$G$5:$G$155,Cash_Book!$E$5:$E$155,A24)+(A24=Settings!$B$6)*SUM(Cash_Book!$F$5:$F$155)+SUMIFS(Journals!$E$5:$E$56,Journals!$D$5:$D$56,A24)</f>
        <v>5400000</v>
      </c>
      <c r="G24" s="16" t="n">
        <f aca="false">SUMIFS(Sales_Register!$F$5:$F$65,Sales_Register!$E$5:$E$65,A24)+(A24=Settings!$B$8)*SUM(Purchase_Register!$F$5:$F$94)+SUMIFS(Cash_Book!$F$5:$F$155,Cash_Book!$E$5:$E$155,A24)+(A24=Settings!$B$6)*SUM(Cash_Book!$G$5:$G$155)+SUMIFS(Journals!$F$5:$F$56,Journals!$D$5:$D$56,A24)</f>
        <v>0</v>
      </c>
      <c r="H24" s="16" t="n">
        <f aca="false">E24+F24-G24</f>
        <v>5400000</v>
      </c>
      <c r="I24" s="16" t="n">
        <f aca="false">MAX(0,H24)</f>
        <v>5400000</v>
      </c>
      <c r="J24" s="16" t="n">
        <f aca="false">MAX(0,-H24)</f>
        <v>0</v>
      </c>
    </row>
    <row r="25" customFormat="false" ht="15" hidden="false" customHeight="false" outlineLevel="0" collapsed="false">
      <c r="A25" s="23" t="n">
        <f aca="false">COA!A24</f>
        <v>5500</v>
      </c>
      <c r="B25" s="6" t="str">
        <f aca="false">COA!B24</f>
        <v>Software subscriptions</v>
      </c>
      <c r="C25" s="6" t="str">
        <f aca="false">COA!C24</f>
        <v>Expense</v>
      </c>
      <c r="D25" s="6" t="str">
        <f aca="false">COA!D24</f>
        <v>Cost of sales</v>
      </c>
      <c r="E25" s="16" t="n">
        <f aca="false">SUMIFS(Opening_TB!$C$5:$C$13,Opening_TB!$A$5:$A$13,A25)</f>
        <v>0</v>
      </c>
      <c r="F25" s="16" t="n">
        <f aca="false">SUMIFS(Purchase_Register!$F$5:$F$94,Purchase_Register!$E$5:$E$94,A25)+(A25=Settings!$B$7)*SUM(Sales_Register!$F$5:$F$65)+SUMIFS(Cash_Book!$G$5:$G$155,Cash_Book!$E$5:$E$155,A25)+(A25=Settings!$B$6)*SUM(Cash_Book!$F$5:$F$155)+SUMIFS(Journals!$E$5:$E$56,Journals!$D$5:$D$56,A25)</f>
        <v>120000</v>
      </c>
      <c r="G25" s="16" t="n">
        <f aca="false">SUMIFS(Sales_Register!$F$5:$F$65,Sales_Register!$E$5:$E$65,A25)+(A25=Settings!$B$8)*SUM(Purchase_Register!$F$5:$F$94)+SUMIFS(Cash_Book!$F$5:$F$155,Cash_Book!$E$5:$E$155,A25)+(A25=Settings!$B$6)*SUM(Cash_Book!$G$5:$G$155)+SUMIFS(Journals!$F$5:$F$56,Journals!$D$5:$D$56,A25)</f>
        <v>0</v>
      </c>
      <c r="H25" s="16" t="n">
        <f aca="false">E25+F25-G25</f>
        <v>120000</v>
      </c>
      <c r="I25" s="16" t="n">
        <f aca="false">MAX(0,H25)</f>
        <v>120000</v>
      </c>
      <c r="J25" s="16" t="n">
        <f aca="false">MAX(0,-H25)</f>
        <v>0</v>
      </c>
    </row>
    <row r="26" customFormat="false" ht="15" hidden="false" customHeight="false" outlineLevel="0" collapsed="false">
      <c r="A26" s="23" t="n">
        <f aca="false">COA!A25</f>
        <v>5010</v>
      </c>
      <c r="B26" s="6" t="str">
        <f aca="false">COA!B25</f>
        <v>Salaries and wages</v>
      </c>
      <c r="C26" s="6" t="str">
        <f aca="false">COA!C25</f>
        <v>Expense</v>
      </c>
      <c r="D26" s="6" t="str">
        <f aca="false">COA!D25</f>
        <v>Administrative expenses</v>
      </c>
      <c r="E26" s="16" t="n">
        <f aca="false">SUMIFS(Opening_TB!$C$5:$C$13,Opening_TB!$A$5:$A$13,A26)</f>
        <v>0</v>
      </c>
      <c r="F26" s="16" t="n">
        <f aca="false">SUMIFS(Purchase_Register!$F$5:$F$94,Purchase_Register!$E$5:$E$94,A26)+(A26=Settings!$B$7)*SUM(Sales_Register!$F$5:$F$65)+SUMIFS(Cash_Book!$G$5:$G$155,Cash_Book!$E$5:$E$155,A26)+(A26=Settings!$B$6)*SUM(Cash_Book!$F$5:$F$155)+SUMIFS(Journals!$E$5:$E$56,Journals!$D$5:$D$56,A26)</f>
        <v>4800000</v>
      </c>
      <c r="G26" s="16" t="n">
        <f aca="false">SUMIFS(Sales_Register!$F$5:$F$65,Sales_Register!$E$5:$E$65,A26)+(A26=Settings!$B$8)*SUM(Purchase_Register!$F$5:$F$94)+SUMIFS(Cash_Book!$F$5:$F$155,Cash_Book!$E$5:$E$155,A26)+(A26=Settings!$B$6)*SUM(Cash_Book!$G$5:$G$155)+SUMIFS(Journals!$F$5:$F$56,Journals!$D$5:$D$56,A26)</f>
        <v>0</v>
      </c>
      <c r="H26" s="16" t="n">
        <f aca="false">E26+F26-G26</f>
        <v>4800000</v>
      </c>
      <c r="I26" s="16" t="n">
        <f aca="false">MAX(0,H26)</f>
        <v>4800000</v>
      </c>
      <c r="J26" s="16" t="n">
        <f aca="false">MAX(0,-H26)</f>
        <v>0</v>
      </c>
    </row>
    <row r="27" customFormat="false" ht="15" hidden="false" customHeight="false" outlineLevel="0" collapsed="false">
      <c r="A27" s="23" t="n">
        <f aca="false">COA!A26</f>
        <v>5020</v>
      </c>
      <c r="B27" s="6" t="str">
        <f aca="false">COA!B26</f>
        <v>Employer RSSB contributions</v>
      </c>
      <c r="C27" s="6" t="str">
        <f aca="false">COA!C26</f>
        <v>Expense</v>
      </c>
      <c r="D27" s="6" t="str">
        <f aca="false">COA!D26</f>
        <v>Administrative expenses</v>
      </c>
      <c r="E27" s="16" t="n">
        <f aca="false">SUMIFS(Opening_TB!$C$5:$C$13,Opening_TB!$A$5:$A$13,A27)</f>
        <v>0</v>
      </c>
      <c r="F27" s="16" t="n">
        <f aca="false">SUMIFS(Purchase_Register!$F$5:$F$94,Purchase_Register!$E$5:$E$94,A27)+(A27=Settings!$B$7)*SUM(Sales_Register!$F$5:$F$65)+SUMIFS(Cash_Book!$G$5:$G$155,Cash_Book!$E$5:$E$155,A27)+(A27=Settings!$B$6)*SUM(Cash_Book!$F$5:$F$155)+SUMIFS(Journals!$E$5:$E$56,Journals!$D$5:$D$56,A27)</f>
        <v>398400</v>
      </c>
      <c r="G27" s="16" t="n">
        <f aca="false">SUMIFS(Sales_Register!$F$5:$F$65,Sales_Register!$E$5:$E$65,A27)+(A27=Settings!$B$8)*SUM(Purchase_Register!$F$5:$F$94)+SUMIFS(Cash_Book!$F$5:$F$155,Cash_Book!$E$5:$E$155,A27)+(A27=Settings!$B$6)*SUM(Cash_Book!$G$5:$G$155)+SUMIFS(Journals!$F$5:$F$56,Journals!$D$5:$D$56,A27)</f>
        <v>0</v>
      </c>
      <c r="H27" s="16" t="n">
        <f aca="false">E27+F27-G27</f>
        <v>398400</v>
      </c>
      <c r="I27" s="16" t="n">
        <f aca="false">MAX(0,H27)</f>
        <v>398400</v>
      </c>
      <c r="J27" s="16" t="n">
        <f aca="false">MAX(0,-H27)</f>
        <v>0</v>
      </c>
    </row>
    <row r="28" customFormat="false" ht="15" hidden="false" customHeight="false" outlineLevel="0" collapsed="false">
      <c r="A28" s="23" t="n">
        <f aca="false">COA!A27</f>
        <v>5100</v>
      </c>
      <c r="B28" s="6" t="str">
        <f aca="false">COA!B27</f>
        <v>Office rent</v>
      </c>
      <c r="C28" s="6" t="str">
        <f aca="false">COA!C27</f>
        <v>Expense</v>
      </c>
      <c r="D28" s="6" t="str">
        <f aca="false">COA!D27</f>
        <v>Administrative expenses</v>
      </c>
      <c r="E28" s="16" t="n">
        <f aca="false">SUMIFS(Opening_TB!$C$5:$C$13,Opening_TB!$A$5:$A$13,A28)</f>
        <v>0</v>
      </c>
      <c r="F28" s="16" t="n">
        <f aca="false">SUMIFS(Purchase_Register!$F$5:$F$94,Purchase_Register!$E$5:$E$94,A28)+(A28=Settings!$B$7)*SUM(Sales_Register!$F$5:$F$65)+SUMIFS(Cash_Book!$G$5:$G$155,Cash_Book!$E$5:$E$155,A28)+(A28=Settings!$B$6)*SUM(Cash_Book!$F$5:$F$155)+SUMIFS(Journals!$E$5:$E$56,Journals!$D$5:$D$56,A28)</f>
        <v>4200000</v>
      </c>
      <c r="G28" s="16" t="n">
        <f aca="false">SUMIFS(Sales_Register!$F$5:$F$65,Sales_Register!$E$5:$E$65,A28)+(A28=Settings!$B$8)*SUM(Purchase_Register!$F$5:$F$94)+SUMIFS(Cash_Book!$F$5:$F$155,Cash_Book!$E$5:$E$155,A28)+(A28=Settings!$B$6)*SUM(Cash_Book!$G$5:$G$155)+SUMIFS(Journals!$F$5:$F$56,Journals!$D$5:$D$56,A28)</f>
        <v>0</v>
      </c>
      <c r="H28" s="16" t="n">
        <f aca="false">E28+F28-G28</f>
        <v>4200000</v>
      </c>
      <c r="I28" s="16" t="n">
        <f aca="false">MAX(0,H28)</f>
        <v>4200000</v>
      </c>
      <c r="J28" s="16" t="n">
        <f aca="false">MAX(0,-H28)</f>
        <v>0</v>
      </c>
    </row>
    <row r="29" customFormat="false" ht="15" hidden="false" customHeight="false" outlineLevel="0" collapsed="false">
      <c r="A29" s="23" t="n">
        <f aca="false">COA!A28</f>
        <v>5300</v>
      </c>
      <c r="B29" s="6" t="str">
        <f aca="false">COA!B28</f>
        <v>Electricity and water</v>
      </c>
      <c r="C29" s="6" t="str">
        <f aca="false">COA!C28</f>
        <v>Expense</v>
      </c>
      <c r="D29" s="6" t="str">
        <f aca="false">COA!D28</f>
        <v>Administrative expenses</v>
      </c>
      <c r="E29" s="16" t="n">
        <f aca="false">SUMIFS(Opening_TB!$C$5:$C$13,Opening_TB!$A$5:$A$13,A29)</f>
        <v>0</v>
      </c>
      <c r="F29" s="16" t="n">
        <f aca="false">SUMIFS(Purchase_Register!$F$5:$F$94,Purchase_Register!$E$5:$E$94,A29)+(A29=Settings!$B$7)*SUM(Sales_Register!$F$5:$F$65)+SUMIFS(Cash_Book!$G$5:$G$155,Cash_Book!$E$5:$E$155,A29)+(A29=Settings!$B$6)*SUM(Cash_Book!$F$5:$F$155)+SUMIFS(Journals!$E$5:$E$56,Journals!$D$5:$D$56,A29)</f>
        <v>965000</v>
      </c>
      <c r="G29" s="16" t="n">
        <f aca="false">SUMIFS(Sales_Register!$F$5:$F$65,Sales_Register!$E$5:$E$65,A29)+(A29=Settings!$B$8)*SUM(Purchase_Register!$F$5:$F$94)+SUMIFS(Cash_Book!$F$5:$F$155,Cash_Book!$E$5:$E$155,A29)+(A29=Settings!$B$6)*SUM(Cash_Book!$G$5:$G$155)+SUMIFS(Journals!$F$5:$F$56,Journals!$D$5:$D$56,A29)</f>
        <v>0</v>
      </c>
      <c r="H29" s="16" t="n">
        <f aca="false">E29+F29-G29</f>
        <v>965000</v>
      </c>
      <c r="I29" s="16" t="n">
        <f aca="false">MAX(0,H29)</f>
        <v>965000</v>
      </c>
      <c r="J29" s="16" t="n">
        <f aca="false">MAX(0,-H29)</f>
        <v>0</v>
      </c>
    </row>
    <row r="30" customFormat="false" ht="15" hidden="false" customHeight="false" outlineLevel="0" collapsed="false">
      <c r="A30" s="23" t="n">
        <f aca="false">COA!A29</f>
        <v>5200</v>
      </c>
      <c r="B30" s="6" t="str">
        <f aca="false">COA!B29</f>
        <v>Internet and communication</v>
      </c>
      <c r="C30" s="6" t="str">
        <f aca="false">COA!C29</f>
        <v>Expense</v>
      </c>
      <c r="D30" s="6" t="str">
        <f aca="false">COA!D29</f>
        <v>Administrative expenses</v>
      </c>
      <c r="E30" s="16" t="n">
        <f aca="false">SUMIFS(Opening_TB!$C$5:$C$13,Opening_TB!$A$5:$A$13,A30)</f>
        <v>0</v>
      </c>
      <c r="F30" s="16" t="n">
        <f aca="false">SUMIFS(Purchase_Register!$F$5:$F$94,Purchase_Register!$E$5:$E$94,A30)+(A30=Settings!$B$7)*SUM(Sales_Register!$F$5:$F$65)+SUMIFS(Cash_Book!$G$5:$G$155,Cash_Book!$E$5:$E$155,A30)+(A30=Settings!$B$6)*SUM(Cash_Book!$F$5:$F$155)+SUMIFS(Journals!$E$5:$E$56,Journals!$D$5:$D$56,A30)</f>
        <v>720000</v>
      </c>
      <c r="G30" s="16" t="n">
        <f aca="false">SUMIFS(Sales_Register!$F$5:$F$65,Sales_Register!$E$5:$E$65,A30)+(A30=Settings!$B$8)*SUM(Purchase_Register!$F$5:$F$94)+SUMIFS(Cash_Book!$F$5:$F$155,Cash_Book!$E$5:$E$155,A30)+(A30=Settings!$B$6)*SUM(Cash_Book!$G$5:$G$155)+SUMIFS(Journals!$F$5:$F$56,Journals!$D$5:$D$56,A30)</f>
        <v>0</v>
      </c>
      <c r="H30" s="16" t="n">
        <f aca="false">E30+F30-G30</f>
        <v>720000</v>
      </c>
      <c r="I30" s="16" t="n">
        <f aca="false">MAX(0,H30)</f>
        <v>720000</v>
      </c>
      <c r="J30" s="16" t="n">
        <f aca="false">MAX(0,-H30)</f>
        <v>0</v>
      </c>
    </row>
    <row r="31" customFormat="false" ht="15" hidden="false" customHeight="false" outlineLevel="0" collapsed="false">
      <c r="A31" s="23" t="n">
        <f aca="false">COA!A30</f>
        <v>5400</v>
      </c>
      <c r="B31" s="6" t="str">
        <f aca="false">COA!B30</f>
        <v>Transport</v>
      </c>
      <c r="C31" s="6" t="str">
        <f aca="false">COA!C30</f>
        <v>Expense</v>
      </c>
      <c r="D31" s="6" t="str">
        <f aca="false">COA!D30</f>
        <v>Administrative expenses</v>
      </c>
      <c r="E31" s="16" t="n">
        <f aca="false">SUMIFS(Opening_TB!$C$5:$C$13,Opening_TB!$A$5:$A$13,A31)</f>
        <v>0</v>
      </c>
      <c r="F31" s="16" t="n">
        <f aca="false">SUMIFS(Purchase_Register!$F$5:$F$94,Purchase_Register!$E$5:$E$94,A31)+(A31=Settings!$B$7)*SUM(Sales_Register!$F$5:$F$65)+SUMIFS(Cash_Book!$G$5:$G$155,Cash_Book!$E$5:$E$155,A31)+(A31=Settings!$B$6)*SUM(Cash_Book!$F$5:$F$155)+SUMIFS(Journals!$E$5:$E$56,Journals!$D$5:$D$56,A31)</f>
        <v>95000</v>
      </c>
      <c r="G31" s="16" t="n">
        <f aca="false">SUMIFS(Sales_Register!$F$5:$F$65,Sales_Register!$E$5:$E$65,A31)+(A31=Settings!$B$8)*SUM(Purchase_Register!$F$5:$F$94)+SUMIFS(Cash_Book!$F$5:$F$155,Cash_Book!$E$5:$E$155,A31)+(A31=Settings!$B$6)*SUM(Cash_Book!$G$5:$G$155)+SUMIFS(Journals!$F$5:$F$56,Journals!$D$5:$D$56,A31)</f>
        <v>0</v>
      </c>
      <c r="H31" s="16" t="n">
        <f aca="false">E31+F31-G31</f>
        <v>95000</v>
      </c>
      <c r="I31" s="16" t="n">
        <f aca="false">MAX(0,H31)</f>
        <v>95000</v>
      </c>
      <c r="J31" s="16" t="n">
        <f aca="false">MAX(0,-H31)</f>
        <v>0</v>
      </c>
    </row>
    <row r="32" customFormat="false" ht="15" hidden="false" customHeight="false" outlineLevel="0" collapsed="false">
      <c r="A32" s="23" t="n">
        <f aca="false">COA!A31</f>
        <v>5600</v>
      </c>
      <c r="B32" s="6" t="str">
        <f aca="false">COA!B31</f>
        <v>Bank charges</v>
      </c>
      <c r="C32" s="6" t="str">
        <f aca="false">COA!C31</f>
        <v>Expense</v>
      </c>
      <c r="D32" s="6" t="str">
        <f aca="false">COA!D31</f>
        <v>Administrative expenses</v>
      </c>
      <c r="E32" s="16" t="n">
        <f aca="false">SUMIFS(Opening_TB!$C$5:$C$13,Opening_TB!$A$5:$A$13,A32)</f>
        <v>0</v>
      </c>
      <c r="F32" s="16" t="n">
        <f aca="false">SUMIFS(Purchase_Register!$F$5:$F$94,Purchase_Register!$E$5:$E$94,A32)+(A32=Settings!$B$7)*SUM(Sales_Register!$F$5:$F$65)+SUMIFS(Cash_Book!$G$5:$G$155,Cash_Book!$E$5:$E$155,A32)+(A32=Settings!$B$6)*SUM(Cash_Book!$F$5:$F$155)+SUMIFS(Journals!$E$5:$E$56,Journals!$D$5:$D$56,A32)</f>
        <v>48000</v>
      </c>
      <c r="G32" s="16" t="n">
        <f aca="false">SUMIFS(Sales_Register!$F$5:$F$65,Sales_Register!$E$5:$E$65,A32)+(A32=Settings!$B$8)*SUM(Purchase_Register!$F$5:$F$94)+SUMIFS(Cash_Book!$F$5:$F$155,Cash_Book!$E$5:$E$155,A32)+(A32=Settings!$B$6)*SUM(Cash_Book!$G$5:$G$155)+SUMIFS(Journals!$F$5:$F$56,Journals!$D$5:$D$56,A32)</f>
        <v>0</v>
      </c>
      <c r="H32" s="16" t="n">
        <f aca="false">E32+F32-G32</f>
        <v>48000</v>
      </c>
      <c r="I32" s="16" t="n">
        <f aca="false">MAX(0,H32)</f>
        <v>48000</v>
      </c>
      <c r="J32" s="16" t="n">
        <f aca="false">MAX(0,-H32)</f>
        <v>0</v>
      </c>
    </row>
    <row r="33" customFormat="false" ht="15" hidden="false" customHeight="false" outlineLevel="0" collapsed="false">
      <c r="A33" s="23" t="n">
        <f aca="false">COA!A32</f>
        <v>5800</v>
      </c>
      <c r="B33" s="6" t="str">
        <f aca="false">COA!B32</f>
        <v>Trading licence and fees</v>
      </c>
      <c r="C33" s="6" t="str">
        <f aca="false">COA!C32</f>
        <v>Expense</v>
      </c>
      <c r="D33" s="6" t="str">
        <f aca="false">COA!D32</f>
        <v>Administrative expenses</v>
      </c>
      <c r="E33" s="16" t="n">
        <f aca="false">SUMIFS(Opening_TB!$C$5:$C$13,Opening_TB!$A$5:$A$13,A33)</f>
        <v>0</v>
      </c>
      <c r="F33" s="16" t="n">
        <f aca="false">SUMIFS(Purchase_Register!$F$5:$F$94,Purchase_Register!$E$5:$E$94,A33)+(A33=Settings!$B$7)*SUM(Sales_Register!$F$5:$F$65)+SUMIFS(Cash_Book!$G$5:$G$155,Cash_Book!$E$5:$E$155,A33)+(A33=Settings!$B$6)*SUM(Cash_Book!$F$5:$F$155)+SUMIFS(Journals!$E$5:$E$56,Journals!$D$5:$D$56,A33)</f>
        <v>180000</v>
      </c>
      <c r="G33" s="16" t="n">
        <f aca="false">SUMIFS(Sales_Register!$F$5:$F$65,Sales_Register!$E$5:$E$65,A33)+(A33=Settings!$B$8)*SUM(Purchase_Register!$F$5:$F$94)+SUMIFS(Cash_Book!$F$5:$F$155,Cash_Book!$E$5:$E$155,A33)+(A33=Settings!$B$6)*SUM(Cash_Book!$G$5:$G$155)+SUMIFS(Journals!$F$5:$F$56,Journals!$D$5:$D$56,A33)</f>
        <v>0</v>
      </c>
      <c r="H33" s="16" t="n">
        <f aca="false">E33+F33-G33</f>
        <v>180000</v>
      </c>
      <c r="I33" s="16" t="n">
        <f aca="false">MAX(0,H33)</f>
        <v>180000</v>
      </c>
      <c r="J33" s="16" t="n">
        <f aca="false">MAX(0,-H33)</f>
        <v>0</v>
      </c>
    </row>
    <row r="34" customFormat="false" ht="15" hidden="false" customHeight="false" outlineLevel="0" collapsed="false">
      <c r="A34" s="23" t="n">
        <f aca="false">COA!A33</f>
        <v>6100</v>
      </c>
      <c r="B34" s="6" t="str">
        <f aca="false">COA!B33</f>
        <v>Depreciation</v>
      </c>
      <c r="C34" s="6" t="str">
        <f aca="false">COA!C33</f>
        <v>Expense</v>
      </c>
      <c r="D34" s="6" t="str">
        <f aca="false">COA!D33</f>
        <v>Administrative expenses</v>
      </c>
      <c r="E34" s="16" t="n">
        <f aca="false">SUMIFS(Opening_TB!$C$5:$C$13,Opening_TB!$A$5:$A$13,A34)</f>
        <v>0</v>
      </c>
      <c r="F34" s="16" t="n">
        <f aca="false">SUMIFS(Purchase_Register!$F$5:$F$94,Purchase_Register!$E$5:$E$94,A34)+(A34=Settings!$B$7)*SUM(Sales_Register!$F$5:$F$65)+SUMIFS(Cash_Book!$G$5:$G$155,Cash_Book!$E$5:$E$155,A34)+(A34=Settings!$B$6)*SUM(Cash_Book!$F$5:$F$155)+SUMIFS(Journals!$E$5:$E$56,Journals!$D$5:$D$56,A34)</f>
        <v>1090000</v>
      </c>
      <c r="G34" s="16" t="n">
        <f aca="false">SUMIFS(Sales_Register!$F$5:$F$65,Sales_Register!$E$5:$E$65,A34)+(A34=Settings!$B$8)*SUM(Purchase_Register!$F$5:$F$94)+SUMIFS(Cash_Book!$F$5:$F$155,Cash_Book!$E$5:$E$155,A34)+(A34=Settings!$B$6)*SUM(Cash_Book!$G$5:$G$155)+SUMIFS(Journals!$F$5:$F$56,Journals!$D$5:$D$56,A34)</f>
        <v>0</v>
      </c>
      <c r="H34" s="16" t="n">
        <f aca="false">E34+F34-G34</f>
        <v>1090000</v>
      </c>
      <c r="I34" s="16" t="n">
        <f aca="false">MAX(0,H34)</f>
        <v>1090000</v>
      </c>
      <c r="J34" s="16" t="n">
        <f aca="false">MAX(0,-H34)</f>
        <v>0</v>
      </c>
    </row>
    <row r="35" customFormat="false" ht="15" hidden="false" customHeight="false" outlineLevel="0" collapsed="false">
      <c r="A35" s="23" t="n">
        <f aca="false">COA!A34</f>
        <v>5700</v>
      </c>
      <c r="B35" s="6" t="str">
        <f aca="false">COA!B34</f>
        <v>Marketing</v>
      </c>
      <c r="C35" s="6" t="str">
        <f aca="false">COA!C34</f>
        <v>Expense</v>
      </c>
      <c r="D35" s="6" t="str">
        <f aca="false">COA!D34</f>
        <v>Selling and marketing expenses</v>
      </c>
      <c r="E35" s="16" t="n">
        <f aca="false">SUMIFS(Opening_TB!$C$5:$C$13,Opening_TB!$A$5:$A$13,A35)</f>
        <v>0</v>
      </c>
      <c r="F35" s="16" t="n">
        <f aca="false">SUMIFS(Purchase_Register!$F$5:$F$94,Purchase_Register!$E$5:$E$94,A35)+(A35=Settings!$B$7)*SUM(Sales_Register!$F$5:$F$65)+SUMIFS(Cash_Book!$G$5:$G$155,Cash_Book!$E$5:$E$155,A35)+(A35=Settings!$B$6)*SUM(Cash_Book!$F$5:$F$155)+SUMIFS(Journals!$E$5:$E$56,Journals!$D$5:$D$56,A35)</f>
        <v>150000</v>
      </c>
      <c r="G35" s="16" t="n">
        <f aca="false">SUMIFS(Sales_Register!$F$5:$F$65,Sales_Register!$E$5:$E$65,A35)+(A35=Settings!$B$8)*SUM(Purchase_Register!$F$5:$F$94)+SUMIFS(Cash_Book!$F$5:$F$155,Cash_Book!$E$5:$E$155,A35)+(A35=Settings!$B$6)*SUM(Cash_Book!$G$5:$G$155)+SUMIFS(Journals!$F$5:$F$56,Journals!$D$5:$D$56,A35)</f>
        <v>0</v>
      </c>
      <c r="H35" s="16" t="n">
        <f aca="false">E35+F35-G35</f>
        <v>150000</v>
      </c>
      <c r="I35" s="16" t="n">
        <f aca="false">MAX(0,H35)</f>
        <v>150000</v>
      </c>
      <c r="J35" s="16" t="n">
        <f aca="false">MAX(0,-H35)</f>
        <v>0</v>
      </c>
    </row>
    <row r="36" customFormat="false" ht="15" hidden="false" customHeight="false" outlineLevel="0" collapsed="false">
      <c r="A36" s="23" t="n">
        <f aca="false">COA!A35</f>
        <v>8100</v>
      </c>
      <c r="B36" s="6" t="str">
        <f aca="false">COA!B35</f>
        <v>Interest on bank loan</v>
      </c>
      <c r="C36" s="6" t="str">
        <f aca="false">COA!C35</f>
        <v>Expense</v>
      </c>
      <c r="D36" s="6" t="str">
        <f aca="false">COA!D35</f>
        <v>Finance costs</v>
      </c>
      <c r="E36" s="16" t="n">
        <f aca="false">SUMIFS(Opening_TB!$C$5:$C$13,Opening_TB!$A$5:$A$13,A36)</f>
        <v>0</v>
      </c>
      <c r="F36" s="16" t="n">
        <f aca="false">SUMIFS(Purchase_Register!$F$5:$F$94,Purchase_Register!$E$5:$E$94,A36)+(A36=Settings!$B$7)*SUM(Sales_Register!$F$5:$F$65)+SUMIFS(Cash_Book!$G$5:$G$155,Cash_Book!$E$5:$E$155,A36)+(A36=Settings!$B$6)*SUM(Cash_Book!$F$5:$F$155)+SUMIFS(Journals!$E$5:$E$56,Journals!$D$5:$D$56,A36)</f>
        <v>264000</v>
      </c>
      <c r="G36" s="16" t="n">
        <f aca="false">SUMIFS(Sales_Register!$F$5:$F$65,Sales_Register!$E$5:$E$65,A36)+(A36=Settings!$B$8)*SUM(Purchase_Register!$F$5:$F$94)+SUMIFS(Cash_Book!$F$5:$F$155,Cash_Book!$E$5:$E$155,A36)+(A36=Settings!$B$6)*SUM(Cash_Book!$G$5:$G$155)+SUMIFS(Journals!$F$5:$F$56,Journals!$D$5:$D$56,A36)</f>
        <v>0</v>
      </c>
      <c r="H36" s="16" t="n">
        <f aca="false">E36+F36-G36</f>
        <v>264000</v>
      </c>
      <c r="I36" s="16" t="n">
        <f aca="false">MAX(0,H36)</f>
        <v>264000</v>
      </c>
      <c r="J36" s="16" t="n">
        <f aca="false">MAX(0,-H36)</f>
        <v>0</v>
      </c>
    </row>
    <row r="37" customFormat="false" ht="15" hidden="false" customHeight="false" outlineLevel="0" collapsed="false">
      <c r="A37" s="23" t="n">
        <f aca="false">COA!A36</f>
        <v>7000</v>
      </c>
      <c r="B37" s="6" t="str">
        <f aca="false">COA!B36</f>
        <v>Current income tax</v>
      </c>
      <c r="C37" s="6" t="str">
        <f aca="false">COA!C36</f>
        <v>Tax</v>
      </c>
      <c r="D37" s="6" t="str">
        <f aca="false">COA!D36</f>
        <v>Income tax expense</v>
      </c>
      <c r="E37" s="16" t="n">
        <f aca="false">SUMIFS(Opening_TB!$C$5:$C$13,Opening_TB!$A$5:$A$13,A37)</f>
        <v>0</v>
      </c>
      <c r="F37" s="16" t="n">
        <f aca="false">SUMIFS(Purchase_Register!$F$5:$F$94,Purchase_Register!$E$5:$E$94,A37)+(A37=Settings!$B$7)*SUM(Sales_Register!$F$5:$F$65)+SUMIFS(Cash_Book!$G$5:$G$155,Cash_Book!$E$5:$E$155,A37)+(A37=Settings!$B$6)*SUM(Cash_Book!$F$5:$F$155)+SUMIFS(Journals!$E$5:$E$56,Journals!$D$5:$D$56,A37)</f>
        <v>180488</v>
      </c>
      <c r="G37" s="16" t="n">
        <f aca="false">SUMIFS(Sales_Register!$F$5:$F$65,Sales_Register!$E$5:$E$65,A37)+(A37=Settings!$B$8)*SUM(Purchase_Register!$F$5:$F$94)+SUMIFS(Cash_Book!$F$5:$F$155,Cash_Book!$E$5:$E$155,A37)+(A37=Settings!$B$6)*SUM(Cash_Book!$G$5:$G$155)+SUMIFS(Journals!$F$5:$F$56,Journals!$D$5:$D$56,A37)</f>
        <v>0</v>
      </c>
      <c r="H37" s="16" t="n">
        <f aca="false">E37+F37-G37</f>
        <v>180488</v>
      </c>
      <c r="I37" s="16" t="n">
        <f aca="false">MAX(0,H37)</f>
        <v>180488</v>
      </c>
      <c r="J37" s="16" t="n">
        <f aca="false">MAX(0,-H37)</f>
        <v>0</v>
      </c>
    </row>
    <row r="38" customFormat="false" ht="15" hidden="false" customHeight="false" outlineLevel="0" collapsed="false">
      <c r="A38" s="23" t="n">
        <f aca="false">COA!A37</f>
        <v>7100</v>
      </c>
      <c r="B38" s="6" t="str">
        <f aca="false">COA!B37</f>
        <v>Deferred tax</v>
      </c>
      <c r="C38" s="6" t="str">
        <f aca="false">COA!C37</f>
        <v>Tax</v>
      </c>
      <c r="D38" s="6" t="str">
        <f aca="false">COA!D37</f>
        <v>Income tax expense</v>
      </c>
      <c r="E38" s="16" t="n">
        <f aca="false">SUMIFS(Opening_TB!$C$5:$C$13,Opening_TB!$A$5:$A$13,A38)</f>
        <v>0</v>
      </c>
      <c r="F38" s="16" t="n">
        <f aca="false">SUMIFS(Purchase_Register!$F$5:$F$94,Purchase_Register!$E$5:$E$94,A38)+(A38=Settings!$B$7)*SUM(Sales_Register!$F$5:$F$65)+SUMIFS(Cash_Book!$G$5:$G$155,Cash_Book!$E$5:$E$155,A38)+(A38=Settings!$B$6)*SUM(Cash_Book!$F$5:$F$155)+SUMIFS(Journals!$E$5:$E$56,Journals!$D$5:$D$56,A38)</f>
        <v>133000</v>
      </c>
      <c r="G38" s="16" t="n">
        <f aca="false">SUMIFS(Sales_Register!$F$5:$F$65,Sales_Register!$E$5:$E$65,A38)+(A38=Settings!$B$8)*SUM(Purchase_Register!$F$5:$F$94)+SUMIFS(Cash_Book!$F$5:$F$155,Cash_Book!$E$5:$E$155,A38)+(A38=Settings!$B$6)*SUM(Cash_Book!$G$5:$G$155)+SUMIFS(Journals!$F$5:$F$56,Journals!$D$5:$D$56,A38)</f>
        <v>0</v>
      </c>
      <c r="H38" s="16" t="n">
        <f aca="false">E38+F38-G38</f>
        <v>133000</v>
      </c>
      <c r="I38" s="16" t="n">
        <f aca="false">MAX(0,H38)</f>
        <v>133000</v>
      </c>
      <c r="J38" s="16" t="n">
        <f aca="false">MAX(0,-H38)</f>
        <v>0</v>
      </c>
    </row>
    <row r="39" customFormat="false" ht="15" hidden="false" customHeight="false" outlineLevel="0" collapsed="false">
      <c r="B39" s="5" t="s">
        <v>657</v>
      </c>
      <c r="E39" s="13" t="n">
        <f aca="false">SUM(E5:E38)</f>
        <v>0</v>
      </c>
      <c r="F39" s="13" t="n">
        <f aca="false">SUM(F5:F38)</f>
        <v>80958434</v>
      </c>
      <c r="G39" s="13" t="n">
        <f aca="false">SUM(G5:G38)</f>
        <v>80958434</v>
      </c>
      <c r="H39" s="13" t="n">
        <f aca="false">SUM(H5:H38)</f>
        <v>0</v>
      </c>
      <c r="I39" s="13" t="n">
        <f aca="false">SUM(I5:I38)</f>
        <v>26817342</v>
      </c>
      <c r="J39" s="13" t="n">
        <f aca="false">SUM(J5:J38)</f>
        <v>26817342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7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5" t="str">
        <f aca="false">"Statement of financial position at 31 December "&amp;Settings!$B$4</f>
        <v>Statement of financial position at 31 December 2025</v>
      </c>
    </row>
    <row r="3" customFormat="false" ht="15" hidden="false" customHeight="false" outlineLevel="0" collapsed="false">
      <c r="A3" s="11" t="s">
        <v>665</v>
      </c>
    </row>
    <row r="5" customFormat="false" ht="15" hidden="false" customHeight="false" outlineLevel="0" collapsed="false">
      <c r="B5" s="5" t="s">
        <v>666</v>
      </c>
      <c r="C5" s="20" t="n">
        <f aca="false">Settings!$B$4</f>
        <v>2025</v>
      </c>
    </row>
    <row r="6" customFormat="false" ht="15" hidden="false" customHeight="false" outlineLevel="0" collapsed="false">
      <c r="A6" s="5" t="s">
        <v>667</v>
      </c>
    </row>
    <row r="7" customFormat="false" ht="15" hidden="false" customHeight="false" outlineLevel="0" collapsed="false">
      <c r="A7" s="5" t="s">
        <v>668</v>
      </c>
    </row>
    <row r="8" customFormat="false" ht="15" hidden="false" customHeight="false" outlineLevel="0" collapsed="false">
      <c r="A8" s="3" t="s">
        <v>106</v>
      </c>
      <c r="B8" s="3" t="s">
        <v>669</v>
      </c>
      <c r="C8" s="16" t="n">
        <f aca="false">SUMIFS(Trial_Balance!$H$5:$H$38,Trial_Balance!$D$5:$D$38,"Property, plant and equipment")</f>
        <v>3340000</v>
      </c>
    </row>
    <row r="9" customFormat="false" ht="15" hidden="false" customHeight="false" outlineLevel="0" collapsed="false">
      <c r="A9" s="5" t="s">
        <v>670</v>
      </c>
      <c r="C9" s="13" t="n">
        <f aca="false">C8</f>
        <v>3340000</v>
      </c>
    </row>
    <row r="11" customFormat="false" ht="15" hidden="false" customHeight="false" outlineLevel="0" collapsed="false">
      <c r="A11" s="5" t="s">
        <v>671</v>
      </c>
    </row>
    <row r="12" customFormat="false" ht="15" hidden="false" customHeight="false" outlineLevel="0" collapsed="false">
      <c r="A12" s="3" t="s">
        <v>103</v>
      </c>
      <c r="B12" s="3" t="s">
        <v>672</v>
      </c>
      <c r="C12" s="16" t="n">
        <f aca="false">SUMIFS(Trial_Balance!$H$5:$H$38,Trial_Balance!$D$5:$D$38,"Trade and other receivables")</f>
        <v>1150000</v>
      </c>
    </row>
    <row r="13" customFormat="false" ht="15" hidden="false" customHeight="false" outlineLevel="0" collapsed="false">
      <c r="A13" s="3" t="s">
        <v>104</v>
      </c>
      <c r="C13" s="16" t="n">
        <f aca="false">SUMIFS(Trial_Balance!$H$5:$H$38,Trial_Balance!$D$5:$D$38,"Prepayments")</f>
        <v>350000</v>
      </c>
    </row>
    <row r="14" customFormat="false" ht="15" hidden="false" customHeight="false" outlineLevel="0" collapsed="false">
      <c r="A14" s="3" t="s">
        <v>673</v>
      </c>
      <c r="B14" s="3" t="s">
        <v>674</v>
      </c>
      <c r="C14" s="16" t="n">
        <f aca="false">MAX(0,SUMIFS(Trial_Balance!$H$5:$H$38,Trial_Balance!$D$5:$D$38,"Current income tax liability"))</f>
        <v>0</v>
      </c>
    </row>
    <row r="15" customFormat="false" ht="15" hidden="false" customHeight="false" outlineLevel="0" collapsed="false">
      <c r="A15" s="3" t="s">
        <v>101</v>
      </c>
      <c r="C15" s="16" t="n">
        <f aca="false">SUMIFS(Trial_Balance!$H$5:$H$38,Trial_Balance!$D$5:$D$38,"Cash and cash equivalents")</f>
        <v>1143454</v>
      </c>
    </row>
    <row r="16" customFormat="false" ht="15" hidden="false" customHeight="false" outlineLevel="0" collapsed="false">
      <c r="A16" s="5" t="s">
        <v>675</v>
      </c>
      <c r="C16" s="13" t="n">
        <f aca="false">SUM(C12:C15)</f>
        <v>2643454</v>
      </c>
    </row>
    <row r="17" customFormat="false" ht="15" hidden="false" customHeight="false" outlineLevel="0" collapsed="false">
      <c r="A17" s="5" t="s">
        <v>676</v>
      </c>
      <c r="C17" s="24" t="n">
        <f aca="false">C9+C16</f>
        <v>5983454</v>
      </c>
    </row>
    <row r="19" customFormat="false" ht="15" hidden="false" customHeight="false" outlineLevel="0" collapsed="false">
      <c r="A19" s="5" t="s">
        <v>677</v>
      </c>
    </row>
    <row r="20" customFormat="false" ht="15" hidden="false" customHeight="false" outlineLevel="0" collapsed="false">
      <c r="A20" s="5" t="s">
        <v>121</v>
      </c>
    </row>
    <row r="21" customFormat="false" ht="15" hidden="false" customHeight="false" outlineLevel="0" collapsed="false">
      <c r="A21" s="3" t="s">
        <v>120</v>
      </c>
      <c r="B21" s="3" t="s">
        <v>678</v>
      </c>
      <c r="C21" s="4" t="n">
        <f aca="false">SoCE!B11</f>
        <v>1000000</v>
      </c>
    </row>
    <row r="22" customFormat="false" ht="15" hidden="false" customHeight="false" outlineLevel="0" collapsed="false">
      <c r="A22" s="3" t="s">
        <v>122</v>
      </c>
      <c r="C22" s="4" t="n">
        <f aca="false">SoCE!C11</f>
        <v>2192112</v>
      </c>
    </row>
    <row r="23" customFormat="false" ht="15" hidden="false" customHeight="false" outlineLevel="0" collapsed="false">
      <c r="A23" s="5" t="s">
        <v>679</v>
      </c>
      <c r="C23" s="13" t="n">
        <f aca="false">C21+C22</f>
        <v>3192112</v>
      </c>
    </row>
    <row r="25" customFormat="false" ht="15" hidden="false" customHeight="false" outlineLevel="0" collapsed="false">
      <c r="A25" s="5" t="s">
        <v>680</v>
      </c>
    </row>
    <row r="26" customFormat="false" ht="15" hidden="false" customHeight="false" outlineLevel="0" collapsed="false">
      <c r="A26" s="3" t="s">
        <v>118</v>
      </c>
      <c r="B26" s="3" t="s">
        <v>681</v>
      </c>
      <c r="C26" s="16" t="n">
        <f aca="false">-SUMIFS(Trial_Balance!$H$5:$H$38,Trial_Balance!$D$5:$D$38,"Borrowings")-C31</f>
        <v>1000000</v>
      </c>
    </row>
    <row r="27" customFormat="false" ht="15" hidden="false" customHeight="false" outlineLevel="0" collapsed="false">
      <c r="A27" s="3" t="s">
        <v>119</v>
      </c>
      <c r="B27" s="3" t="s">
        <v>674</v>
      </c>
      <c r="C27" s="16" t="n">
        <f aca="false">-SUMIFS(Trial_Balance!$H$5:$H$38,Trial_Balance!$D$5:$D$38,"Deferred tax liability")</f>
        <v>217000</v>
      </c>
    </row>
    <row r="28" customFormat="false" ht="15" hidden="false" customHeight="false" outlineLevel="0" collapsed="false">
      <c r="A28" s="5" t="s">
        <v>682</v>
      </c>
      <c r="C28" s="13" t="n">
        <f aca="false">C26+C27</f>
        <v>1217000</v>
      </c>
    </row>
    <row r="29" customFormat="false" ht="15" hidden="false" customHeight="false" outlineLevel="0" collapsed="false">
      <c r="A29" s="5" t="s">
        <v>683</v>
      </c>
    </row>
    <row r="30" customFormat="false" ht="15" hidden="false" customHeight="false" outlineLevel="0" collapsed="false">
      <c r="A30" s="3" t="s">
        <v>110</v>
      </c>
      <c r="B30" s="3" t="s">
        <v>684</v>
      </c>
      <c r="C30" s="16" t="n">
        <f aca="false">-SUMIFS(Trial_Balance!$H$5:$H$38,Trial_Balance!$D$5:$D$38,"Trade and other payables")</f>
        <v>585000</v>
      </c>
    </row>
    <row r="31" customFormat="false" ht="15" hidden="false" customHeight="false" outlineLevel="0" collapsed="false">
      <c r="A31" s="3" t="s">
        <v>685</v>
      </c>
      <c r="B31" s="3" t="s">
        <v>681</v>
      </c>
      <c r="C31" s="16" t="n">
        <f aca="false">MIN(-SUMIFS(Trial_Balance!$H$5:$H$38,Trial_Balance!$D$5:$D$38,"Borrowings"),Loan_Schedule!$M$11)</f>
        <v>800000</v>
      </c>
    </row>
    <row r="32" customFormat="false" ht="15" hidden="false" customHeight="false" outlineLevel="0" collapsed="false">
      <c r="A32" s="3" t="s">
        <v>115</v>
      </c>
      <c r="B32" s="3" t="s">
        <v>684</v>
      </c>
      <c r="C32" s="16" t="n">
        <f aca="false">-SUMIFS(Trial_Balance!$H$5:$H$38,Trial_Balance!$D$5:$D$38,"PAYE and social security payable")</f>
        <v>143854</v>
      </c>
    </row>
    <row r="33" customFormat="false" ht="15" hidden="false" customHeight="false" outlineLevel="0" collapsed="false">
      <c r="A33" s="3" t="s">
        <v>113</v>
      </c>
      <c r="B33" s="3" t="s">
        <v>674</v>
      </c>
      <c r="C33" s="16" t="n">
        <f aca="false">MAX(0,-SUMIFS(Trial_Balance!$H$5:$H$38,Trial_Balance!$D$5:$D$38,"Current income tax liability"))</f>
        <v>45488</v>
      </c>
    </row>
    <row r="34" customFormat="false" ht="15" hidden="false" customHeight="false" outlineLevel="0" collapsed="false">
      <c r="A34" s="5" t="s">
        <v>686</v>
      </c>
      <c r="C34" s="13" t="n">
        <f aca="false">SUM(C30:C33)</f>
        <v>1574342</v>
      </c>
    </row>
    <row r="35" customFormat="false" ht="15" hidden="false" customHeight="false" outlineLevel="0" collapsed="false">
      <c r="A35" s="5" t="s">
        <v>687</v>
      </c>
      <c r="C35" s="22" t="n">
        <f aca="false">C28+C34</f>
        <v>2791342</v>
      </c>
    </row>
    <row r="36" customFormat="false" ht="15" hidden="false" customHeight="false" outlineLevel="0" collapsed="false">
      <c r="A36" s="5" t="s">
        <v>688</v>
      </c>
      <c r="C36" s="24" t="n">
        <f aca="false">C23+C35</f>
        <v>5983454</v>
      </c>
    </row>
    <row r="38" customFormat="false" ht="15" hidden="false" customHeight="false" outlineLevel="0" collapsed="false">
      <c r="A38" s="3" t="s">
        <v>689</v>
      </c>
      <c r="C38" s="16" t="n">
        <f aca="false">C17-C36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7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5" t="str">
        <f aca="false">"Statement of comprehensive income for the year ended 31 December "&amp;Settings!$B$4</f>
        <v>Statement of comprehensive income for the year ended 31 December 2025</v>
      </c>
    </row>
    <row r="3" customFormat="false" ht="15" hidden="false" customHeight="false" outlineLevel="0" collapsed="false">
      <c r="A3" s="11" t="s">
        <v>665</v>
      </c>
    </row>
    <row r="5" customFormat="false" ht="15" hidden="false" customHeight="false" outlineLevel="0" collapsed="false">
      <c r="B5" s="5" t="s">
        <v>666</v>
      </c>
      <c r="C5" s="20" t="n">
        <f aca="false">Settings!$B$4</f>
        <v>2025</v>
      </c>
    </row>
    <row r="6" customFormat="false" ht="15" hidden="false" customHeight="false" outlineLevel="0" collapsed="false">
      <c r="A6" s="3" t="s">
        <v>126</v>
      </c>
      <c r="B6" s="3" t="s">
        <v>690</v>
      </c>
      <c r="C6" s="16" t="n">
        <f aca="false">-SUMIFS(Trial_Balance!$H$5:$H$38,Trial_Balance!$D$5:$D$38,"Revenue")</f>
        <v>19550000</v>
      </c>
    </row>
    <row r="7" customFormat="false" ht="15" hidden="false" customHeight="false" outlineLevel="0" collapsed="false">
      <c r="A7" s="3" t="s">
        <v>132</v>
      </c>
      <c r="B7" s="3" t="s">
        <v>691</v>
      </c>
      <c r="C7" s="16" t="n">
        <f aca="false">-SUMIFS(Trial_Balance!$H$5:$H$38,Trial_Balance!$D$5:$D$38,"Cost of sales")</f>
        <v>-5520000</v>
      </c>
    </row>
    <row r="8" customFormat="false" ht="15" hidden="false" customHeight="false" outlineLevel="0" collapsed="false">
      <c r="A8" s="5" t="s">
        <v>692</v>
      </c>
      <c r="C8" s="13" t="n">
        <f aca="false">C6+C7</f>
        <v>14030000</v>
      </c>
    </row>
    <row r="9" customFormat="false" ht="15" hidden="false" customHeight="false" outlineLevel="0" collapsed="false">
      <c r="A9" s="3" t="s">
        <v>129</v>
      </c>
      <c r="C9" s="16" t="n">
        <f aca="false">-SUMIFS(Trial_Balance!$H$5:$H$38,Trial_Balance!$D$5:$D$38,"Other income")</f>
        <v>-0</v>
      </c>
    </row>
    <row r="10" customFormat="false" ht="15" hidden="false" customHeight="false" outlineLevel="0" collapsed="false">
      <c r="A10" s="3" t="s">
        <v>136</v>
      </c>
      <c r="B10" s="3" t="s">
        <v>693</v>
      </c>
      <c r="C10" s="16" t="n">
        <f aca="false">-SUMIFS(Trial_Balance!$H$5:$H$38,Trial_Balance!$D$5:$D$38,"Administrative expenses")</f>
        <v>-12496400</v>
      </c>
    </row>
    <row r="11" customFormat="false" ht="15" hidden="false" customHeight="false" outlineLevel="0" collapsed="false">
      <c r="A11" s="3" t="s">
        <v>150</v>
      </c>
      <c r="B11" s="3" t="s">
        <v>693</v>
      </c>
      <c r="C11" s="16" t="n">
        <f aca="false">-SUMIFS(Trial_Balance!$H$5:$H$38,Trial_Balance!$D$5:$D$38,"Selling and marketing expenses")</f>
        <v>-150000</v>
      </c>
    </row>
    <row r="12" customFormat="false" ht="15" hidden="false" customHeight="false" outlineLevel="0" collapsed="false">
      <c r="A12" s="5" t="s">
        <v>694</v>
      </c>
      <c r="C12" s="13" t="n">
        <f aca="false">SUM(C8:C11)</f>
        <v>1383600</v>
      </c>
    </row>
    <row r="13" customFormat="false" ht="15" hidden="false" customHeight="false" outlineLevel="0" collapsed="false">
      <c r="A13" s="3" t="s">
        <v>695</v>
      </c>
      <c r="C13" s="16" t="n">
        <v>0</v>
      </c>
    </row>
    <row r="14" customFormat="false" ht="15" hidden="false" customHeight="false" outlineLevel="0" collapsed="false">
      <c r="A14" s="3" t="s">
        <v>152</v>
      </c>
      <c r="B14" s="3" t="s">
        <v>696</v>
      </c>
      <c r="C14" s="16" t="n">
        <f aca="false">-SUMIFS(Trial_Balance!$H$5:$H$38,Trial_Balance!$D$5:$D$38,"Finance costs")</f>
        <v>-264000</v>
      </c>
    </row>
    <row r="15" customFormat="false" ht="15" hidden="false" customHeight="false" outlineLevel="0" collapsed="false">
      <c r="A15" s="5" t="s">
        <v>697</v>
      </c>
      <c r="C15" s="13" t="n">
        <f aca="false">C13+C14</f>
        <v>-264000</v>
      </c>
    </row>
    <row r="17" customFormat="false" ht="15" hidden="false" customHeight="false" outlineLevel="0" collapsed="false">
      <c r="A17" s="5" t="s">
        <v>623</v>
      </c>
      <c r="C17" s="13" t="n">
        <f aca="false">C12+C15</f>
        <v>1119600</v>
      </c>
    </row>
    <row r="18" customFormat="false" ht="15" hidden="false" customHeight="false" outlineLevel="0" collapsed="false">
      <c r="A18" s="3" t="s">
        <v>156</v>
      </c>
      <c r="B18" s="3" t="s">
        <v>674</v>
      </c>
      <c r="C18" s="16" t="n">
        <f aca="false">-SUMIFS(Trial_Balance!$H$5:$H$38,Trial_Balance!$D$5:$D$38,"Income tax expense")</f>
        <v>-313488</v>
      </c>
    </row>
    <row r="19" customFormat="false" ht="15" hidden="false" customHeight="false" outlineLevel="0" collapsed="false">
      <c r="A19" s="5" t="s">
        <v>698</v>
      </c>
      <c r="C19" s="13" t="n">
        <f aca="false">C17+C18</f>
        <v>806112</v>
      </c>
    </row>
    <row r="20" customFormat="false" ht="15" hidden="false" customHeight="false" outlineLevel="0" collapsed="false">
      <c r="A20" s="3" t="s">
        <v>699</v>
      </c>
      <c r="C20" s="16" t="n">
        <v>0</v>
      </c>
    </row>
    <row r="21" customFormat="false" ht="15" hidden="false" customHeight="false" outlineLevel="0" collapsed="false">
      <c r="A21" s="5" t="s">
        <v>700</v>
      </c>
      <c r="C21" s="24" t="n">
        <f aca="false">C19+C20</f>
        <v>806112</v>
      </c>
    </row>
    <row r="23" customFormat="false" ht="15" hidden="false" customHeight="false" outlineLevel="0" collapsed="false">
      <c r="A23" s="11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5" t="str">
        <f aca="false">"Statement of changes in equity for the year ended 31 December "&amp;Settings!$B$4</f>
        <v>Statement of changes in equity for the year ended 31 December 2025</v>
      </c>
    </row>
    <row r="3" customFormat="false" ht="15" hidden="false" customHeight="false" outlineLevel="0" collapsed="false">
      <c r="A3" s="11" t="s">
        <v>665</v>
      </c>
    </row>
    <row r="5" customFormat="false" ht="15" hidden="false" customHeight="false" outlineLevel="0" collapsed="false">
      <c r="B5" s="5" t="s">
        <v>120</v>
      </c>
      <c r="C5" s="20" t="s">
        <v>122</v>
      </c>
      <c r="D5" s="5" t="s">
        <v>679</v>
      </c>
    </row>
    <row r="6" customFormat="false" ht="15" hidden="false" customHeight="false" outlineLevel="0" collapsed="false">
      <c r="A6" s="5" t="str">
        <f aca="false">"Balance at 1 January "&amp;Settings!$B$4</f>
        <v>Balance at 1 January 2025</v>
      </c>
      <c r="B6" s="22" t="n">
        <f aca="false">-SUMIFS(Trial_Balance!$E$5:$E$38,Trial_Balance!$A$5:$A$38,3000)</f>
        <v>1000000</v>
      </c>
      <c r="C6" s="22" t="n">
        <f aca="false">-SUMIFS(Trial_Balance!$E$5:$E$38,Trial_Balance!$A$5:$A$38,3100)</f>
        <v>1786000</v>
      </c>
      <c r="D6" s="22" t="n">
        <f aca="false">B6+C6</f>
        <v>2786000</v>
      </c>
    </row>
    <row r="7" customFormat="false" ht="15" hidden="false" customHeight="false" outlineLevel="0" collapsed="false">
      <c r="A7" s="3" t="s">
        <v>698</v>
      </c>
      <c r="B7" s="16" t="n">
        <v>0</v>
      </c>
      <c r="C7" s="16" t="n">
        <f aca="false">SoCI!C19</f>
        <v>806112</v>
      </c>
      <c r="D7" s="16" t="n">
        <f aca="false">B7+C7</f>
        <v>806112</v>
      </c>
    </row>
    <row r="8" customFormat="false" ht="15" hidden="false" customHeight="false" outlineLevel="0" collapsed="false">
      <c r="A8" s="3" t="s">
        <v>699</v>
      </c>
      <c r="B8" s="16" t="n">
        <v>0</v>
      </c>
      <c r="C8" s="16" t="n">
        <f aca="false">SoCI!C20</f>
        <v>0</v>
      </c>
      <c r="D8" s="16" t="n">
        <f aca="false">B8+C8</f>
        <v>0</v>
      </c>
    </row>
    <row r="9" customFormat="false" ht="15" hidden="false" customHeight="false" outlineLevel="0" collapsed="false">
      <c r="A9" s="3" t="s">
        <v>702</v>
      </c>
      <c r="B9" s="16" t="n">
        <f aca="false">-(SUMIFS(Trial_Balance!$H$5:$H$38,Trial_Balance!$A$5:$A$38,3000)-SUMIFS(Trial_Balance!$E$5:$E$38,Trial_Balance!$A$5:$A$38,3000))</f>
        <v>-0</v>
      </c>
      <c r="C9" s="16" t="n">
        <v>0</v>
      </c>
      <c r="D9" s="16" t="n">
        <f aca="false">B9+C9</f>
        <v>0</v>
      </c>
    </row>
    <row r="10" customFormat="false" ht="15" hidden="false" customHeight="false" outlineLevel="0" collapsed="false">
      <c r="A10" s="3" t="s">
        <v>703</v>
      </c>
      <c r="B10" s="16" t="n">
        <v>0</v>
      </c>
      <c r="C10" s="16" t="n">
        <f aca="false">-SUMIFS(Trial_Balance!$H$5:$H$38,Trial_Balance!$A$5:$A$38,3200)</f>
        <v>-400000</v>
      </c>
      <c r="D10" s="16" t="n">
        <f aca="false">B10+C10</f>
        <v>-400000</v>
      </c>
    </row>
    <row r="11" customFormat="false" ht="15" hidden="false" customHeight="false" outlineLevel="0" collapsed="false">
      <c r="A11" s="5" t="str">
        <f aca="false">"Balance at 31 December "&amp;Settings!$B$4</f>
        <v>Balance at 31 December 2025</v>
      </c>
      <c r="B11" s="24" t="n">
        <f aca="false">SUM(B6:B10)</f>
        <v>1000000</v>
      </c>
      <c r="C11" s="24" t="n">
        <f aca="false">SUM(C6:C10)</f>
        <v>2192112</v>
      </c>
      <c r="D11" s="24" t="n">
        <f aca="false">B11+C11</f>
        <v>3192112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7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5" t="str">
        <f aca="false">"Statement of cash flows for the year ended 31 December "&amp;Settings!$B$4</f>
        <v>Statement of cash flows for the year ended 31 December 2025</v>
      </c>
    </row>
    <row r="3" customFormat="false" ht="15" hidden="false" customHeight="false" outlineLevel="0" collapsed="false">
      <c r="A3" s="11" t="s">
        <v>665</v>
      </c>
    </row>
    <row r="5" customFormat="false" ht="15" hidden="false" customHeight="false" outlineLevel="0" collapsed="false">
      <c r="B5" s="5" t="s">
        <v>666</v>
      </c>
      <c r="C5" s="20" t="n">
        <f aca="false">Settings!$B$4</f>
        <v>2025</v>
      </c>
    </row>
    <row r="6" customFormat="false" ht="15" hidden="false" customHeight="false" outlineLevel="0" collapsed="false">
      <c r="A6" s="5" t="s">
        <v>704</v>
      </c>
    </row>
    <row r="7" customFormat="false" ht="15" hidden="false" customHeight="false" outlineLevel="0" collapsed="false">
      <c r="A7" s="3" t="s">
        <v>623</v>
      </c>
      <c r="C7" s="4" t="n">
        <f aca="false">SoCI!C17</f>
        <v>1119600</v>
      </c>
    </row>
    <row r="8" customFormat="false" ht="15" hidden="false" customHeight="false" outlineLevel="0" collapsed="false">
      <c r="A8" s="11" t="s">
        <v>705</v>
      </c>
    </row>
    <row r="9" customFormat="false" ht="15" hidden="false" customHeight="false" outlineLevel="0" collapsed="false">
      <c r="A9" s="3" t="s">
        <v>706</v>
      </c>
      <c r="C9" s="16" t="n">
        <f aca="false">SUMIFS(Trial_Balance!$H$5:$H$38,Trial_Balance!$A$5:$A$38,6100)</f>
        <v>1090000</v>
      </c>
    </row>
    <row r="10" customFormat="false" ht="15" hidden="false" customHeight="false" outlineLevel="0" collapsed="false">
      <c r="A10" s="3" t="s">
        <v>707</v>
      </c>
      <c r="C10" s="4" t="n">
        <f aca="false">-SoCI!C14</f>
        <v>264000</v>
      </c>
    </row>
    <row r="11" customFormat="false" ht="15" hidden="false" customHeight="false" outlineLevel="0" collapsed="false">
      <c r="A11" s="11" t="s">
        <v>708</v>
      </c>
    </row>
    <row r="12" customFormat="false" ht="15" hidden="false" customHeight="false" outlineLevel="0" collapsed="false">
      <c r="A12" s="3" t="s">
        <v>709</v>
      </c>
      <c r="C12" s="16" t="n">
        <f aca="false">-(SUMIFS(Trial_Balance!$H$5:$H$38,Trial_Balance!$D$5:$D$38,"Trade and other receivables")-SUMIFS(Trial_Balance!$E$5:$E$38,Trial_Balance!$D$5:$D$38,"Trade and other receivables"))</f>
        <v>-550000</v>
      </c>
    </row>
    <row r="13" customFormat="false" ht="15" hidden="false" customHeight="false" outlineLevel="0" collapsed="false">
      <c r="A13" s="3" t="s">
        <v>710</v>
      </c>
      <c r="C13" s="16" t="n">
        <f aca="false">-(SUMIFS(Trial_Balance!$H$5:$H$38,Trial_Balance!$D$5:$D$38,"Prepayments")-SUMIFS(Trial_Balance!$E$5:$E$38,Trial_Balance!$D$5:$D$38,"Prepayments"))</f>
        <v>-350000</v>
      </c>
    </row>
    <row r="14" customFormat="false" ht="15" hidden="false" customHeight="false" outlineLevel="0" collapsed="false">
      <c r="A14" s="3" t="s">
        <v>711</v>
      </c>
      <c r="C14" s="16" t="n">
        <f aca="false">-(SUMIFS(Trial_Balance!$H$5:$H$38,Trial_Balance!$D$5:$D$38,"Trade and other payables")-SUMIFS(Trial_Balance!$E$5:$E$38,Trial_Balance!$D$5:$D$38,"Trade and other payables"))</f>
        <v>335000</v>
      </c>
    </row>
    <row r="15" customFormat="false" ht="15" hidden="false" customHeight="false" outlineLevel="0" collapsed="false">
      <c r="A15" s="3" t="s">
        <v>712</v>
      </c>
      <c r="C15" s="16" t="n">
        <f aca="false">-(SUMIFS(Trial_Balance!$H$5:$H$38,Trial_Balance!$D$5:$D$38,"PAYE and social security payable")-SUMIFS(Trial_Balance!$E$5:$E$38,Trial_Balance!$D$5:$D$38,"PAYE and social security payable"))</f>
        <v>143854</v>
      </c>
    </row>
    <row r="16" customFormat="false" ht="15" hidden="false" customHeight="false" outlineLevel="0" collapsed="false">
      <c r="A16" s="5" t="s">
        <v>713</v>
      </c>
      <c r="C16" s="13" t="n">
        <f aca="false">SUM(C7:C15)</f>
        <v>2052454</v>
      </c>
    </row>
    <row r="17" customFormat="false" ht="15" hidden="false" customHeight="false" outlineLevel="0" collapsed="false">
      <c r="A17" s="3" t="s">
        <v>714</v>
      </c>
      <c r="C17" s="16" t="n">
        <f aca="false">-SUMIFS(Cash_Book!$G$5:$G$155,Cash_Book!$E$5:$E$155,8100)</f>
        <v>-264000</v>
      </c>
    </row>
    <row r="18" customFormat="false" ht="15" hidden="false" customHeight="false" outlineLevel="0" collapsed="false">
      <c r="A18" s="3" t="s">
        <v>715</v>
      </c>
      <c r="C18" s="16" t="n">
        <f aca="false">-SUMIFS(Cash_Book!$G$5:$G$155,Cash_Book!$E$5:$E$155,2300)+SUMIFS(Cash_Book!$F$5:$F$155,Cash_Book!$E$5:$E$155,2300)</f>
        <v>-315000</v>
      </c>
    </row>
    <row r="19" customFormat="false" ht="15" hidden="false" customHeight="false" outlineLevel="0" collapsed="false">
      <c r="A19" s="5" t="s">
        <v>716</v>
      </c>
      <c r="C19" s="13" t="n">
        <f aca="false">SUM(C16:C18)</f>
        <v>1473454</v>
      </c>
    </row>
    <row r="21" customFormat="false" ht="15" hidden="false" customHeight="false" outlineLevel="0" collapsed="false">
      <c r="A21" s="5" t="s">
        <v>717</v>
      </c>
    </row>
    <row r="22" customFormat="false" ht="15" hidden="false" customHeight="false" outlineLevel="0" collapsed="false">
      <c r="A22" s="3" t="s">
        <v>718</v>
      </c>
      <c r="C22" s="16" t="n">
        <f aca="false">-SUMIFS(Cash_Book!$G$5:$G$155,Cash_Book!$E$5:$E$155,1500)+SUMIFS(Cash_Book!$F$5:$F$155,Cash_Book!$E$5:$E$155,1500)</f>
        <v>-3230000</v>
      </c>
    </row>
    <row r="23" customFormat="false" ht="15" hidden="false" customHeight="false" outlineLevel="0" collapsed="false">
      <c r="A23" s="5" t="s">
        <v>719</v>
      </c>
      <c r="C23" s="13" t="n">
        <f aca="false">C22</f>
        <v>-3230000</v>
      </c>
    </row>
    <row r="25" customFormat="false" ht="15" hidden="false" customHeight="false" outlineLevel="0" collapsed="false">
      <c r="A25" s="5" t="s">
        <v>720</v>
      </c>
    </row>
    <row r="26" customFormat="false" ht="15" hidden="false" customHeight="false" outlineLevel="0" collapsed="false">
      <c r="A26" s="3" t="s">
        <v>721</v>
      </c>
      <c r="C26" s="16" t="n">
        <f aca="false">SUMIFS(Cash_Book!$F$5:$F$155,Cash_Book!$E$5:$E$155,2500)</f>
        <v>2400000</v>
      </c>
    </row>
    <row r="27" customFormat="false" ht="15" hidden="false" customHeight="false" outlineLevel="0" collapsed="false">
      <c r="A27" s="3" t="s">
        <v>722</v>
      </c>
      <c r="C27" s="16" t="n">
        <f aca="false">-SUMIFS(Cash_Book!$G$5:$G$155,Cash_Book!$E$5:$E$155,2500)</f>
        <v>-600000</v>
      </c>
    </row>
    <row r="28" customFormat="false" ht="15" hidden="false" customHeight="false" outlineLevel="0" collapsed="false">
      <c r="A28" s="3" t="s">
        <v>723</v>
      </c>
      <c r="C28" s="16" t="n">
        <f aca="false">SUMIFS(Cash_Book!$F$5:$F$155,Cash_Book!$E$5:$E$155,3000)-SUMIFS(Cash_Book!$G$5:$G$155,Cash_Book!$E$5:$E$155,3000)</f>
        <v>0</v>
      </c>
    </row>
    <row r="29" customFormat="false" ht="15" hidden="false" customHeight="false" outlineLevel="0" collapsed="false">
      <c r="A29" s="3" t="s">
        <v>724</v>
      </c>
      <c r="C29" s="16" t="n">
        <f aca="false">-SUMIFS(Cash_Book!$G$5:$G$155,Cash_Book!$E$5:$E$155,3200)</f>
        <v>-400000</v>
      </c>
    </row>
    <row r="30" customFormat="false" ht="15" hidden="false" customHeight="false" outlineLevel="0" collapsed="false">
      <c r="A30" s="5" t="s">
        <v>725</v>
      </c>
      <c r="C30" s="13" t="n">
        <f aca="false">SUM(C26:C29)</f>
        <v>1400000</v>
      </c>
    </row>
    <row r="32" customFormat="false" ht="15" hidden="false" customHeight="false" outlineLevel="0" collapsed="false">
      <c r="A32" s="5" t="s">
        <v>726</v>
      </c>
      <c r="C32" s="22" t="n">
        <f aca="false">C19+C23+C30</f>
        <v>-356546</v>
      </c>
    </row>
    <row r="33" customFormat="false" ht="15" hidden="false" customHeight="false" outlineLevel="0" collapsed="false">
      <c r="A33" s="3" t="str">
        <f aca="false">"Cash and cash equivalents at 1 January "&amp;Settings!$B$4</f>
        <v>Cash and cash equivalents at 1 January 2025</v>
      </c>
      <c r="C33" s="16" t="n">
        <f aca="false">SUMIFS(Trial_Balance!$E$5:$E$38,Trial_Balance!$A$5:$A$38,Settings!$B$6)</f>
        <v>1500000</v>
      </c>
    </row>
    <row r="34" customFormat="false" ht="15" hidden="false" customHeight="false" outlineLevel="0" collapsed="false">
      <c r="A34" s="5" t="str">
        <f aca="false">"Cash and cash equivalents at 31 December "&amp;Settings!$B$4</f>
        <v>Cash and cash equivalents at 31 December 2025</v>
      </c>
      <c r="C34" s="24" t="n">
        <f aca="false">C32+C33</f>
        <v>1143454</v>
      </c>
    </row>
    <row r="36" customFormat="false" ht="15" hidden="false" customHeight="false" outlineLevel="0" collapsed="false">
      <c r="A36" s="11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tr">
        <f aca="false">"Notes to the financial statements for the year ended 31 December "&amp;Settings!$B$4</f>
        <v>Notes to the financial statements for the year ended 31 December 2025</v>
      </c>
    </row>
    <row r="3" customFormat="false" ht="15" hidden="false" customHeight="false" outlineLevel="0" collapsed="false">
      <c r="A3" s="5" t="s">
        <v>728</v>
      </c>
    </row>
    <row r="4" customFormat="false" ht="15" hidden="false" customHeight="false" outlineLevel="0" collapsed="false">
      <c r="A4" s="3" t="s">
        <v>729</v>
      </c>
    </row>
    <row r="5" customFormat="false" ht="15" hidden="false" customHeight="false" outlineLevel="0" collapsed="false">
      <c r="A5" s="3" t="s">
        <v>730</v>
      </c>
    </row>
    <row r="6" customFormat="false" ht="15" hidden="false" customHeight="false" outlineLevel="0" collapsed="false">
      <c r="A6" s="3" t="s">
        <v>731</v>
      </c>
    </row>
    <row r="8" customFormat="false" ht="15" hidden="false" customHeight="false" outlineLevel="0" collapsed="false">
      <c r="A8" s="5" t="s">
        <v>732</v>
      </c>
    </row>
    <row r="9" customFormat="false" ht="15" hidden="false" customHeight="false" outlineLevel="0" collapsed="false">
      <c r="A9" s="3" t="s">
        <v>733</v>
      </c>
    </row>
    <row r="10" customFormat="false" ht="15" hidden="false" customHeight="false" outlineLevel="0" collapsed="false">
      <c r="A10" s="3" t="s">
        <v>734</v>
      </c>
    </row>
    <row r="11" customFormat="false" ht="15" hidden="false" customHeight="false" outlineLevel="0" collapsed="false">
      <c r="A11" s="3" t="s">
        <v>735</v>
      </c>
    </row>
    <row r="12" customFormat="false" ht="15" hidden="false" customHeight="false" outlineLevel="0" collapsed="false">
      <c r="A12" s="3" t="s">
        <v>736</v>
      </c>
    </row>
    <row r="13" customFormat="false" ht="15" hidden="false" customHeight="false" outlineLevel="0" collapsed="false">
      <c r="A13" s="3" t="s">
        <v>737</v>
      </c>
    </row>
    <row r="15" customFormat="false" ht="15" hidden="false" customHeight="false" outlineLevel="0" collapsed="false">
      <c r="A15" s="5" t="s">
        <v>738</v>
      </c>
    </row>
    <row r="16" customFormat="false" ht="15" hidden="false" customHeight="false" outlineLevel="0" collapsed="false">
      <c r="A16" s="3" t="s">
        <v>124</v>
      </c>
      <c r="B16" s="16" t="n">
        <f aca="false">-SUMIFS(Trial_Balance!$H$5:$H$38,Trial_Balance!$A$5:$A$38,4000)</f>
        <v>9300000</v>
      </c>
    </row>
    <row r="17" customFormat="false" ht="15" hidden="false" customHeight="false" outlineLevel="0" collapsed="false">
      <c r="A17" s="3" t="s">
        <v>127</v>
      </c>
      <c r="B17" s="16" t="n">
        <f aca="false">-SUMIFS(Trial_Balance!$H$5:$H$38,Trial_Balance!$A$5:$A$38,4100)</f>
        <v>7200000</v>
      </c>
    </row>
    <row r="18" customFormat="false" ht="15" hidden="false" customHeight="false" outlineLevel="0" collapsed="false">
      <c r="A18" s="3" t="s">
        <v>128</v>
      </c>
      <c r="B18" s="16" t="n">
        <f aca="false">-SUMIFS(Trial_Balance!$H$5:$H$38,Trial_Balance!$A$5:$A$38,4200)</f>
        <v>3050000</v>
      </c>
    </row>
    <row r="19" customFormat="false" ht="15" hidden="false" customHeight="false" outlineLevel="0" collapsed="false">
      <c r="A19" s="5" t="s">
        <v>739</v>
      </c>
      <c r="B19" s="13" t="n">
        <f aca="false">SUM(B16:B18)</f>
        <v>19550000</v>
      </c>
    </row>
    <row r="21" customFormat="false" ht="15" hidden="false" customHeight="false" outlineLevel="0" collapsed="false">
      <c r="A21" s="5" t="s">
        <v>740</v>
      </c>
    </row>
    <row r="22" customFormat="false" ht="15" hidden="false" customHeight="false" outlineLevel="0" collapsed="false">
      <c r="A22" s="3" t="s">
        <v>130</v>
      </c>
      <c r="B22" s="16" t="n">
        <f aca="false">SUMIFS(Trial_Balance!$H$5:$H$38,Trial_Balance!$A$5:$A$38,5000)</f>
        <v>5400000</v>
      </c>
    </row>
    <row r="23" customFormat="false" ht="15" hidden="false" customHeight="false" outlineLevel="0" collapsed="false">
      <c r="A23" s="3" t="s">
        <v>133</v>
      </c>
      <c r="B23" s="16" t="n">
        <f aca="false">SUMIFS(Trial_Balance!$H$5:$H$38,Trial_Balance!$A$5:$A$38,5500)</f>
        <v>120000</v>
      </c>
    </row>
    <row r="24" customFormat="false" ht="15" hidden="false" customHeight="false" outlineLevel="0" collapsed="false">
      <c r="A24" s="5" t="s">
        <v>741</v>
      </c>
      <c r="B24" s="13" t="n">
        <f aca="false">SUM(B22:B23)</f>
        <v>5520000</v>
      </c>
    </row>
    <row r="26" customFormat="false" ht="15" hidden="false" customHeight="false" outlineLevel="0" collapsed="false">
      <c r="A26" s="5" t="s">
        <v>742</v>
      </c>
    </row>
    <row r="27" customFormat="false" ht="15" hidden="false" customHeight="false" outlineLevel="0" collapsed="false">
      <c r="A27" s="3" t="s">
        <v>135</v>
      </c>
      <c r="B27" s="16" t="n">
        <f aca="false">SUMIFS(Trial_Balance!$H$5:$H$38,Trial_Balance!$A$5:$A$38,5010)</f>
        <v>4800000</v>
      </c>
    </row>
    <row r="28" customFormat="false" ht="15" hidden="false" customHeight="false" outlineLevel="0" collapsed="false">
      <c r="A28" s="3" t="s">
        <v>138</v>
      </c>
      <c r="B28" s="16" t="n">
        <f aca="false">SUMIFS(Trial_Balance!$H$5:$H$38,Trial_Balance!$A$5:$A$38,5020)</f>
        <v>398400</v>
      </c>
    </row>
    <row r="29" customFormat="false" ht="15" hidden="false" customHeight="false" outlineLevel="0" collapsed="false">
      <c r="A29" s="3" t="s">
        <v>139</v>
      </c>
      <c r="B29" s="16" t="n">
        <f aca="false">SUMIFS(Trial_Balance!$H$5:$H$38,Trial_Balance!$A$5:$A$38,5100)</f>
        <v>4200000</v>
      </c>
    </row>
    <row r="30" customFormat="false" ht="15" hidden="false" customHeight="false" outlineLevel="0" collapsed="false">
      <c r="A30" s="3" t="s">
        <v>141</v>
      </c>
      <c r="B30" s="16" t="n">
        <f aca="false">SUMIFS(Trial_Balance!$H$5:$H$38,Trial_Balance!$A$5:$A$38,5300)</f>
        <v>965000</v>
      </c>
    </row>
    <row r="31" customFormat="false" ht="15" hidden="false" customHeight="false" outlineLevel="0" collapsed="false">
      <c r="A31" s="3" t="s">
        <v>142</v>
      </c>
      <c r="B31" s="16" t="n">
        <f aca="false">SUMIFS(Trial_Balance!$H$5:$H$38,Trial_Balance!$A$5:$A$38,5200)</f>
        <v>720000</v>
      </c>
    </row>
    <row r="32" customFormat="false" ht="15" hidden="false" customHeight="false" outlineLevel="0" collapsed="false">
      <c r="A32" s="3" t="s">
        <v>144</v>
      </c>
      <c r="B32" s="16" t="n">
        <f aca="false">SUMIFS(Trial_Balance!$H$5:$H$38,Trial_Balance!$A$5:$A$38,5400)</f>
        <v>95000</v>
      </c>
    </row>
    <row r="33" customFormat="false" ht="15" hidden="false" customHeight="false" outlineLevel="0" collapsed="false">
      <c r="A33" s="3" t="s">
        <v>145</v>
      </c>
      <c r="B33" s="16" t="n">
        <f aca="false">SUMIFS(Trial_Balance!$H$5:$H$38,Trial_Balance!$A$5:$A$38,5600)</f>
        <v>48000</v>
      </c>
    </row>
    <row r="34" customFormat="false" ht="15" hidden="false" customHeight="false" outlineLevel="0" collapsed="false">
      <c r="A34" s="3" t="s">
        <v>146</v>
      </c>
      <c r="B34" s="16" t="n">
        <f aca="false">SUMIFS(Trial_Balance!$H$5:$H$38,Trial_Balance!$A$5:$A$38,5800)</f>
        <v>180000</v>
      </c>
    </row>
    <row r="35" customFormat="false" ht="15" hidden="false" customHeight="false" outlineLevel="0" collapsed="false">
      <c r="A35" s="3" t="s">
        <v>148</v>
      </c>
      <c r="B35" s="16" t="n">
        <f aca="false">SUMIFS(Trial_Balance!$H$5:$H$38,Trial_Balance!$A$5:$A$38,6100)</f>
        <v>1090000</v>
      </c>
    </row>
    <row r="36" customFormat="false" ht="15" hidden="false" customHeight="false" outlineLevel="0" collapsed="false">
      <c r="A36" s="5" t="s">
        <v>743</v>
      </c>
      <c r="B36" s="13" t="n">
        <f aca="false">SUM(B27:B35)</f>
        <v>12496400</v>
      </c>
    </row>
    <row r="37" customFormat="false" ht="15" hidden="false" customHeight="false" outlineLevel="0" collapsed="false">
      <c r="A37" s="3" t="s">
        <v>150</v>
      </c>
      <c r="B37" s="16" t="n">
        <f aca="false">SUMIFS(Trial_Balance!$H$5:$H$38,Trial_Balance!$A$5:$A$38,5700)</f>
        <v>150000</v>
      </c>
    </row>
    <row r="39" customFormat="false" ht="15" hidden="false" customHeight="false" outlineLevel="0" collapsed="false">
      <c r="A39" s="5" t="s">
        <v>744</v>
      </c>
    </row>
    <row r="40" customFormat="false" ht="15" hidden="false" customHeight="false" outlineLevel="0" collapsed="false">
      <c r="A40" s="3" t="s">
        <v>130</v>
      </c>
      <c r="B40" s="16" t="n">
        <f aca="false">SUMPRODUCT(SUMIFS(Trial_Balance!$H$5:$H$38,Trial_Balance!$A$5:$A$38,COA!$A$4:$A$37)*(COA!$E$4:$E$37="Contractor costs"))</f>
        <v>5400000</v>
      </c>
    </row>
    <row r="41" customFormat="false" ht="15" hidden="false" customHeight="false" outlineLevel="0" collapsed="false">
      <c r="A41" s="3" t="s">
        <v>137</v>
      </c>
      <c r="B41" s="16" t="n">
        <f aca="false">SUMPRODUCT(SUMIFS(Trial_Balance!$H$5:$H$38,Trial_Balance!$A$5:$A$38,COA!$A$4:$A$37)*(COA!$E$4:$E$37="Employee benefits"))</f>
        <v>5198400</v>
      </c>
    </row>
    <row r="42" customFormat="false" ht="15" hidden="false" customHeight="false" outlineLevel="0" collapsed="false">
      <c r="A42" s="3" t="s">
        <v>140</v>
      </c>
      <c r="B42" s="16" t="n">
        <f aca="false">SUMPRODUCT(SUMIFS(Trial_Balance!$H$5:$H$38,Trial_Balance!$A$5:$A$38,COA!$A$4:$A$37)*(COA!$E$4:$E$37="Premises"))</f>
        <v>5165000</v>
      </c>
    </row>
    <row r="43" customFormat="false" ht="15" hidden="false" customHeight="false" outlineLevel="0" collapsed="false">
      <c r="A43" s="3" t="s">
        <v>148</v>
      </c>
      <c r="B43" s="16" t="n">
        <f aca="false">SUMPRODUCT(SUMIFS(Trial_Balance!$H$5:$H$38,Trial_Balance!$A$5:$A$38,COA!$A$4:$A$37)*(COA!$E$4:$E$37="Depreciation"))</f>
        <v>1090000</v>
      </c>
    </row>
    <row r="44" customFormat="false" ht="15" hidden="false" customHeight="false" outlineLevel="0" collapsed="false">
      <c r="A44" s="3" t="s">
        <v>143</v>
      </c>
      <c r="B44" s="16" t="n">
        <f aca="false">SUMPRODUCT(SUMIFS(Trial_Balance!$H$5:$H$38,Trial_Balance!$A$5:$A$38,COA!$A$4:$A$37)*(COA!$E$4:$E$37="Communication"))</f>
        <v>720000</v>
      </c>
    </row>
    <row r="45" customFormat="false" ht="15" hidden="false" customHeight="false" outlineLevel="0" collapsed="false">
      <c r="A45" s="3" t="s">
        <v>134</v>
      </c>
      <c r="B45" s="16" t="n">
        <f aca="false">SUMPRODUCT(SUMIFS(Trial_Balance!$H$5:$H$38,Trial_Balance!$A$5:$A$38,COA!$A$4:$A$37)*(COA!$E$4:$E$37="Software and subscriptions"))</f>
        <v>120000</v>
      </c>
    </row>
    <row r="46" customFormat="false" ht="15" hidden="false" customHeight="false" outlineLevel="0" collapsed="false">
      <c r="A46" s="3" t="s">
        <v>149</v>
      </c>
      <c r="B46" s="16" t="n">
        <f aca="false">SUMPRODUCT(SUMIFS(Trial_Balance!$H$5:$H$38,Trial_Balance!$A$5:$A$38,COA!$A$4:$A$37)*(COA!$E$4:$E$37="Marketing"))</f>
        <v>150000</v>
      </c>
    </row>
    <row r="47" customFormat="false" ht="15" hidden="false" customHeight="false" outlineLevel="0" collapsed="false">
      <c r="A47" s="3" t="s">
        <v>144</v>
      </c>
      <c r="B47" s="16" t="n">
        <f aca="false">SUMPRODUCT(SUMIFS(Trial_Balance!$H$5:$H$38,Trial_Balance!$A$5:$A$38,COA!$A$4:$A$37)*(COA!$E$4:$E$37="Transport"))</f>
        <v>95000</v>
      </c>
    </row>
    <row r="48" customFormat="false" ht="15" hidden="false" customHeight="false" outlineLevel="0" collapsed="false">
      <c r="A48" s="3" t="s">
        <v>147</v>
      </c>
      <c r="B48" s="16" t="n">
        <f aca="false">SUMPRODUCT(SUMIFS(Trial_Balance!$H$5:$H$38,Trial_Balance!$A$5:$A$38,COA!$A$4:$A$37)*(COA!$E$4:$E$37="Licences and fees"))</f>
        <v>180000</v>
      </c>
    </row>
    <row r="49" customFormat="false" ht="15" hidden="false" customHeight="false" outlineLevel="0" collapsed="false">
      <c r="A49" s="3" t="s">
        <v>145</v>
      </c>
      <c r="B49" s="16" t="n">
        <f aca="false">SUMPRODUCT(SUMIFS(Trial_Balance!$H$5:$H$38,Trial_Balance!$A$5:$A$38,COA!$A$4:$A$37)*(COA!$E$4:$E$37="Bank charges"))</f>
        <v>48000</v>
      </c>
    </row>
    <row r="50" customFormat="false" ht="15" hidden="false" customHeight="false" outlineLevel="0" collapsed="false">
      <c r="A50" s="5" t="s">
        <v>745</v>
      </c>
      <c r="B50" s="13" t="n">
        <f aca="false">SUM(B40:B49)</f>
        <v>18166400</v>
      </c>
    </row>
    <row r="51" customFormat="false" ht="15" hidden="false" customHeight="false" outlineLevel="0" collapsed="false">
      <c r="A51" s="3" t="s">
        <v>746</v>
      </c>
      <c r="B51" s="16" t="n">
        <f aca="false">SUMIFS(Trial_Balance!$H$5:$H$38,Trial_Balance!$A$5:$A$38,5010)</f>
        <v>4800000</v>
      </c>
    </row>
    <row r="52" customFormat="false" ht="15" hidden="false" customHeight="false" outlineLevel="0" collapsed="false">
      <c r="A52" s="3" t="s">
        <v>747</v>
      </c>
      <c r="B52" s="16" t="n">
        <f aca="false">SUMIFS(Trial_Balance!$H$5:$H$38,Trial_Balance!$A$5:$A$38,5020)</f>
        <v>398400</v>
      </c>
    </row>
    <row r="53" customFormat="false" ht="15" hidden="false" customHeight="false" outlineLevel="0" collapsed="false">
      <c r="A53" s="3" t="s">
        <v>748</v>
      </c>
      <c r="B53" s="18" t="n">
        <v>1</v>
      </c>
    </row>
    <row r="55" customFormat="false" ht="15" hidden="false" customHeight="false" outlineLevel="0" collapsed="false">
      <c r="A55" s="5" t="s">
        <v>749</v>
      </c>
    </row>
    <row r="56" customFormat="false" ht="15" hidden="false" customHeight="false" outlineLevel="0" collapsed="false">
      <c r="A56" s="5" t="s">
        <v>151</v>
      </c>
      <c r="B56" s="22" t="n">
        <f aca="false">SUMIFS(Trial_Balance!$H$5:$H$38,Trial_Balance!$A$5:$A$38,8100)</f>
        <v>264000</v>
      </c>
    </row>
    <row r="58" customFormat="false" ht="15" hidden="false" customHeight="false" outlineLevel="0" collapsed="false">
      <c r="A58" s="5" t="s">
        <v>750</v>
      </c>
    </row>
    <row r="59" customFormat="false" ht="15" hidden="false" customHeight="false" outlineLevel="0" collapsed="false">
      <c r="A59" s="3" t="s">
        <v>154</v>
      </c>
      <c r="B59" s="16" t="n">
        <f aca="false">SUMIFS(Trial_Balance!$H$5:$H$38,Trial_Balance!$A$5:$A$38,7000)</f>
        <v>180488</v>
      </c>
    </row>
    <row r="60" customFormat="false" ht="15" hidden="false" customHeight="false" outlineLevel="0" collapsed="false">
      <c r="A60" s="3" t="s">
        <v>157</v>
      </c>
      <c r="B60" s="16" t="n">
        <f aca="false">SUMIFS(Trial_Balance!$H$5:$H$38,Trial_Balance!$A$5:$A$38,7100)</f>
        <v>133000</v>
      </c>
    </row>
    <row r="61" customFormat="false" ht="15" hidden="false" customHeight="false" outlineLevel="0" collapsed="false">
      <c r="A61" s="5" t="s">
        <v>156</v>
      </c>
      <c r="B61" s="13" t="n">
        <f aca="false">SUM(B59:B60)</f>
        <v>313488</v>
      </c>
    </row>
    <row r="62" customFormat="false" ht="15" hidden="false" customHeight="false" outlineLevel="0" collapsed="false">
      <c r="A62" s="11" t="s">
        <v>751</v>
      </c>
    </row>
    <row r="63" customFormat="false" ht="15" hidden="false" customHeight="false" outlineLevel="0" collapsed="false">
      <c r="A63" s="3" t="s">
        <v>623</v>
      </c>
      <c r="B63" s="16" t="n">
        <f aca="false">SoCI!C17</f>
        <v>1119600</v>
      </c>
    </row>
    <row r="64" customFormat="false" ht="15" hidden="false" customHeight="false" outlineLevel="0" collapsed="false">
      <c r="A64" s="3" t="s">
        <v>752</v>
      </c>
      <c r="B64" s="16" t="n">
        <f aca="false">ROUND(B63*Settings!$B$5,0)</f>
        <v>313488</v>
      </c>
    </row>
    <row r="65" customFormat="false" ht="15" hidden="false" customHeight="false" outlineLevel="0" collapsed="false">
      <c r="A65" s="3" t="s">
        <v>753</v>
      </c>
      <c r="B65" s="16" t="n">
        <f aca="false">ROUND(Tax_Computation!B13*Settings!$B$5,0)</f>
        <v>0</v>
      </c>
    </row>
    <row r="66" customFormat="false" ht="15" hidden="false" customHeight="false" outlineLevel="0" collapsed="false">
      <c r="A66" s="3" t="s">
        <v>754</v>
      </c>
      <c r="B66" s="16" t="n">
        <f aca="false">B61-B64-B65</f>
        <v>0</v>
      </c>
    </row>
    <row r="67" customFormat="false" ht="15" hidden="false" customHeight="false" outlineLevel="0" collapsed="false">
      <c r="A67" s="5" t="s">
        <v>156</v>
      </c>
      <c r="B67" s="13" t="n">
        <f aca="false">SUM(B64:B66)</f>
        <v>313488</v>
      </c>
    </row>
    <row r="68" customFormat="false" ht="15" hidden="false" customHeight="false" outlineLevel="0" collapsed="false">
      <c r="A68" s="3" t="s">
        <v>755</v>
      </c>
      <c r="B68" s="16" t="n">
        <f aca="false">Tax_Computation!B30</f>
        <v>45488</v>
      </c>
    </row>
    <row r="69" customFormat="false" ht="15" hidden="false" customHeight="false" outlineLevel="0" collapsed="false">
      <c r="A69" s="3" t="s">
        <v>632</v>
      </c>
      <c r="B69" s="16" t="n">
        <f aca="false">Tax_Computation!B22</f>
        <v>217000</v>
      </c>
    </row>
    <row r="71" customFormat="false" ht="15" hidden="false" customHeight="false" outlineLevel="0" collapsed="false">
      <c r="A71" s="5" t="s">
        <v>756</v>
      </c>
    </row>
    <row r="72" customFormat="false" ht="15" hidden="false" customHeight="false" outlineLevel="0" collapsed="false">
      <c r="A72" s="3" t="s">
        <v>757</v>
      </c>
      <c r="B72" s="16" t="n">
        <f aca="false">SUMIFS(Trial_Balance!$E$5:$E$38,Trial_Balance!$A$5:$A$38,1500)</f>
        <v>1800000</v>
      </c>
    </row>
    <row r="73" customFormat="false" ht="15" hidden="false" customHeight="false" outlineLevel="0" collapsed="false">
      <c r="A73" s="3" t="s">
        <v>619</v>
      </c>
      <c r="B73" s="16" t="n">
        <f aca="false">SUMIFS(Cash_Book!$G$5:$G$155,Cash_Book!$E$5:$E$155,1500)+SUMIFS(Purchase_Register!$F$5:$F$94,Purchase_Register!$E$5:$E$94,1500)</f>
        <v>3230000</v>
      </c>
    </row>
    <row r="74" customFormat="false" ht="15" hidden="false" customHeight="false" outlineLevel="0" collapsed="false">
      <c r="A74" s="5" t="s">
        <v>758</v>
      </c>
      <c r="B74" s="13" t="n">
        <f aca="false">SUMIFS(Trial_Balance!$H$5:$H$38,Trial_Balance!$A$5:$A$38,1500)</f>
        <v>5030000</v>
      </c>
    </row>
    <row r="75" customFormat="false" ht="15" hidden="false" customHeight="false" outlineLevel="0" collapsed="false">
      <c r="A75" s="3" t="s">
        <v>759</v>
      </c>
      <c r="B75" s="16" t="n">
        <f aca="false">-SUMIFS(Trial_Balance!$E$5:$E$38,Trial_Balance!$A$5:$A$38,1510)</f>
        <v>600000</v>
      </c>
    </row>
    <row r="76" customFormat="false" ht="15" hidden="false" customHeight="false" outlineLevel="0" collapsed="false">
      <c r="A76" s="3" t="s">
        <v>760</v>
      </c>
      <c r="B76" s="16" t="n">
        <f aca="false">SUMIFS(Trial_Balance!$H$5:$H$38,Trial_Balance!$A$5:$A$38,6100)</f>
        <v>1090000</v>
      </c>
    </row>
    <row r="77" customFormat="false" ht="15" hidden="false" customHeight="false" outlineLevel="0" collapsed="false">
      <c r="A77" s="5" t="s">
        <v>761</v>
      </c>
      <c r="B77" s="13" t="n">
        <f aca="false">-SUMIFS(Trial_Balance!$H$5:$H$38,Trial_Balance!$A$5:$A$38,1510)</f>
        <v>1690000</v>
      </c>
    </row>
    <row r="78" customFormat="false" ht="15" hidden="false" customHeight="false" outlineLevel="0" collapsed="false">
      <c r="A78" s="5" t="s">
        <v>762</v>
      </c>
      <c r="B78" s="24" t="n">
        <f aca="false">B74-B77</f>
        <v>3340000</v>
      </c>
    </row>
    <row r="80" customFormat="false" ht="15" hidden="false" customHeight="false" outlineLevel="0" collapsed="false">
      <c r="A80" s="5" t="s">
        <v>763</v>
      </c>
    </row>
    <row r="81" customFormat="false" ht="15" hidden="false" customHeight="false" outlineLevel="0" collapsed="false">
      <c r="A81" s="3" t="s">
        <v>165</v>
      </c>
      <c r="B81" s="16" t="n">
        <f aca="false">SUMIFS(Opening_TB!$G$6:$G$15,Opening_TB!$E$6:$E$15,A81)+SUMIFS(Sales_Register!$F$5:$F$65,Sales_Register!$C$5:$C$65,A81)-SUMIFS(Cash_Book!$F$5:$F$155,Cash_Book!$C$5:$C$155,A81,Cash_Book!$E$5:$E$155,Settings!$B$7)</f>
        <v>0</v>
      </c>
    </row>
    <row r="82" customFormat="false" ht="15" hidden="false" customHeight="false" outlineLevel="0" collapsed="false">
      <c r="A82" s="3" t="s">
        <v>178</v>
      </c>
      <c r="B82" s="16" t="n">
        <f aca="false">SUMIFS(Opening_TB!$G$6:$G$15,Opening_TB!$E$6:$E$15,A82)+SUMIFS(Sales_Register!$F$5:$F$65,Sales_Register!$C$5:$C$65,A82)-SUMIFS(Cash_Book!$F$5:$F$155,Cash_Book!$C$5:$C$155,A82,Cash_Book!$E$5:$E$155,Settings!$B$7)</f>
        <v>550000</v>
      </c>
    </row>
    <row r="83" customFormat="false" ht="15" hidden="false" customHeight="false" outlineLevel="0" collapsed="false">
      <c r="A83" s="3" t="s">
        <v>198</v>
      </c>
      <c r="B83" s="16" t="n">
        <f aca="false">SUMIFS(Opening_TB!$G$6:$G$15,Opening_TB!$E$6:$E$15,A83)+SUMIFS(Sales_Register!$F$5:$F$65,Sales_Register!$C$5:$C$65,A83)-SUMIFS(Cash_Book!$F$5:$F$155,Cash_Book!$C$5:$C$155,A83,Cash_Book!$E$5:$E$155,Settings!$B$7)</f>
        <v>0</v>
      </c>
    </row>
    <row r="84" customFormat="false" ht="15" hidden="false" customHeight="false" outlineLevel="0" collapsed="false">
      <c r="A84" s="3" t="s">
        <v>213</v>
      </c>
      <c r="B84" s="16" t="n">
        <f aca="false">SUMIFS(Opening_TB!$G$6:$G$15,Opening_TB!$E$6:$E$15,A84)+SUMIFS(Sales_Register!$F$5:$F$65,Sales_Register!$C$5:$C$65,A84)-SUMIFS(Cash_Book!$F$5:$F$155,Cash_Book!$C$5:$C$155,A84,Cash_Book!$E$5:$E$155,Settings!$B$7)</f>
        <v>600000</v>
      </c>
    </row>
    <row r="85" customFormat="false" ht="15" hidden="false" customHeight="false" outlineLevel="0" collapsed="false">
      <c r="A85" s="3" t="s">
        <v>191</v>
      </c>
      <c r="B85" s="16" t="n">
        <f aca="false">SUMIFS(Opening_TB!$G$6:$G$15,Opening_TB!$E$6:$E$15,A85)+SUMIFS(Sales_Register!$F$5:$F$65,Sales_Register!$C$5:$C$65,A85)-SUMIFS(Cash_Book!$F$5:$F$155,Cash_Book!$C$5:$C$155,A85,Cash_Book!$E$5:$E$155,Settings!$B$7)</f>
        <v>0</v>
      </c>
    </row>
    <row r="86" customFormat="false" ht="15" hidden="false" customHeight="false" outlineLevel="0" collapsed="false">
      <c r="A86" s="5" t="s">
        <v>764</v>
      </c>
      <c r="B86" s="13" t="n">
        <f aca="false">SUM(B81:B85)</f>
        <v>1150000</v>
      </c>
    </row>
    <row r="88" customFormat="false" ht="15" hidden="false" customHeight="false" outlineLevel="0" collapsed="false">
      <c r="A88" s="5" t="s">
        <v>765</v>
      </c>
    </row>
    <row r="89" customFormat="false" ht="15" hidden="false" customHeight="false" outlineLevel="0" collapsed="false">
      <c r="A89" s="3" t="s">
        <v>766</v>
      </c>
      <c r="B89" s="16"/>
    </row>
    <row r="90" customFormat="false" ht="15" hidden="false" customHeight="false" outlineLevel="0" collapsed="false">
      <c r="A90" s="3" t="s">
        <v>767</v>
      </c>
      <c r="B90" s="16" t="n">
        <f aca="false">-SUMIFS(Trial_Balance!$E$5:$E$38,Trial_Balance!$A$5:$A$38,2500)</f>
        <v>-0</v>
      </c>
    </row>
    <row r="91" customFormat="false" ht="15" hidden="false" customHeight="false" outlineLevel="0" collapsed="false">
      <c r="A91" s="3" t="s">
        <v>768</v>
      </c>
      <c r="B91" s="16" t="n">
        <f aca="false">SUMIFS(Cash_Book!$F$5:$F$155,Cash_Book!$E$5:$E$155,2500)</f>
        <v>2400000</v>
      </c>
    </row>
    <row r="92" customFormat="false" ht="15" hidden="false" customHeight="false" outlineLevel="0" collapsed="false">
      <c r="A92" s="3" t="s">
        <v>769</v>
      </c>
      <c r="B92" s="16" t="n">
        <f aca="false">-SUMIFS(Cash_Book!$G$5:$G$155,Cash_Book!$E$5:$E$155,2500)</f>
        <v>-600000</v>
      </c>
    </row>
    <row r="93" customFormat="false" ht="15" hidden="false" customHeight="false" outlineLevel="0" collapsed="false">
      <c r="A93" s="5" t="s">
        <v>770</v>
      </c>
      <c r="B93" s="13" t="n">
        <f aca="false">SUM(B90:B92)</f>
        <v>1800000</v>
      </c>
    </row>
    <row r="94" customFormat="false" ht="15" hidden="false" customHeight="false" outlineLevel="0" collapsed="false">
      <c r="A94" s="3" t="s">
        <v>771</v>
      </c>
      <c r="B94" s="16" t="n">
        <f aca="false">SoFP!C31</f>
        <v>800000</v>
      </c>
    </row>
    <row r="95" customFormat="false" ht="15" hidden="false" customHeight="false" outlineLevel="0" collapsed="false">
      <c r="A95" s="3" t="s">
        <v>772</v>
      </c>
      <c r="B95" s="16" t="n">
        <f aca="false">SoFP!C26</f>
        <v>1000000</v>
      </c>
    </row>
    <row r="97" customFormat="false" ht="15" hidden="false" customHeight="false" outlineLevel="0" collapsed="false">
      <c r="A97" s="5" t="s">
        <v>773</v>
      </c>
    </row>
    <row r="98" customFormat="false" ht="15" hidden="false" customHeight="false" outlineLevel="0" collapsed="false">
      <c r="A98" s="3" t="s">
        <v>167</v>
      </c>
      <c r="B98" s="16" t="n">
        <f aca="false">SUMIFS(Opening_TB!$G$6:$G$15,Opening_TB!$E$6:$E$15,A98)+SUMIFS(Purchase_Register!$F$5:$F$94,Purchase_Register!$C$5:$C$94,A98)-SUMIFS(Cash_Book!$G$5:$G$155,Cash_Book!$C$5:$C$155,A98,Cash_Book!$E$5:$E$155,Settings!$B$8)</f>
        <v>500000</v>
      </c>
    </row>
    <row r="99" customFormat="false" ht="15" hidden="false" customHeight="false" outlineLevel="0" collapsed="false">
      <c r="A99" s="3" t="s">
        <v>228</v>
      </c>
      <c r="B99" s="16" t="n">
        <f aca="false">SUMIFS(Opening_TB!$G$6:$G$15,Opening_TB!$E$6:$E$15,A99)+SUMIFS(Purchase_Register!$F$5:$F$94,Purchase_Register!$C$5:$C$94,A99)-SUMIFS(Cash_Book!$G$5:$G$155,Cash_Book!$C$5:$C$155,A99,Cash_Book!$E$5:$E$155,Settings!$B$8)</f>
        <v>0</v>
      </c>
    </row>
    <row r="100" customFormat="false" ht="15" hidden="false" customHeight="false" outlineLevel="0" collapsed="false">
      <c r="A100" s="3" t="s">
        <v>231</v>
      </c>
      <c r="B100" s="16" t="n">
        <f aca="false">SUMIFS(Opening_TB!$G$6:$G$15,Opening_TB!$E$6:$E$15,A100)+SUMIFS(Purchase_Register!$F$5:$F$94,Purchase_Register!$C$5:$C$94,A100)-SUMIFS(Cash_Book!$G$5:$G$155,Cash_Book!$C$5:$C$155,A100,Cash_Book!$E$5:$E$155,Settings!$B$8)</f>
        <v>0</v>
      </c>
    </row>
    <row r="101" customFormat="false" ht="15" hidden="false" customHeight="false" outlineLevel="0" collapsed="false">
      <c r="A101" s="3" t="s">
        <v>234</v>
      </c>
      <c r="B101" s="16" t="n">
        <f aca="false">SUMIFS(Opening_TB!$G$6:$G$15,Opening_TB!$E$6:$E$15,A101)+SUMIFS(Purchase_Register!$F$5:$F$94,Purchase_Register!$C$5:$C$94,A101)-SUMIFS(Cash_Book!$G$5:$G$155,Cash_Book!$C$5:$C$155,A101,Cash_Book!$E$5:$E$155,Settings!$B$8)</f>
        <v>0</v>
      </c>
    </row>
    <row r="102" customFormat="false" ht="15" hidden="false" customHeight="false" outlineLevel="0" collapsed="false">
      <c r="A102" s="3" t="s">
        <v>241</v>
      </c>
      <c r="B102" s="16" t="n">
        <f aca="false">SUMIFS(Opening_TB!$G$6:$G$15,Opening_TB!$E$6:$E$15,A102)+SUMIFS(Purchase_Register!$F$5:$F$94,Purchase_Register!$C$5:$C$94,A102)-SUMIFS(Cash_Book!$G$5:$G$155,Cash_Book!$C$5:$C$155,A102,Cash_Book!$E$5:$E$155,Settings!$B$8)</f>
        <v>0</v>
      </c>
    </row>
    <row r="103" customFormat="false" ht="15" hidden="false" customHeight="false" outlineLevel="0" collapsed="false">
      <c r="A103" s="3" t="s">
        <v>268</v>
      </c>
      <c r="B103" s="16" t="n">
        <f aca="false">SUMIFS(Opening_TB!$G$6:$G$15,Opening_TB!$E$6:$E$15,A103)+SUMIFS(Purchase_Register!$F$5:$F$94,Purchase_Register!$C$5:$C$94,A103)-SUMIFS(Cash_Book!$G$5:$G$155,Cash_Book!$C$5:$C$155,A103,Cash_Book!$E$5:$E$155,Settings!$B$8)</f>
        <v>0</v>
      </c>
    </row>
    <row r="104" customFormat="false" ht="15" hidden="false" customHeight="false" outlineLevel="0" collapsed="false">
      <c r="A104" s="3" t="s">
        <v>287</v>
      </c>
      <c r="B104" s="16" t="n">
        <f aca="false">SUMIFS(Opening_TB!$G$6:$G$15,Opening_TB!$E$6:$E$15,A104)+SUMIFS(Purchase_Register!$F$5:$F$94,Purchase_Register!$C$5:$C$94,A104)-SUMIFS(Cash_Book!$G$5:$G$155,Cash_Book!$C$5:$C$155,A104,Cash_Book!$E$5:$E$155,Settings!$B$8)</f>
        <v>0</v>
      </c>
    </row>
    <row r="105" customFormat="false" ht="15" hidden="false" customHeight="false" outlineLevel="0" collapsed="false">
      <c r="A105" s="5" t="s">
        <v>108</v>
      </c>
      <c r="B105" s="13" t="n">
        <f aca="false">SUM(B98:B104)</f>
        <v>500000</v>
      </c>
    </row>
    <row r="106" customFormat="false" ht="15" hidden="false" customHeight="false" outlineLevel="0" collapsed="false">
      <c r="A106" s="3" t="s">
        <v>111</v>
      </c>
      <c r="B106" s="16" t="n">
        <f aca="false">-SUMIFS(Trial_Balance!$H$5:$H$38,Trial_Balance!$A$5:$A$38,2200)</f>
        <v>85000</v>
      </c>
    </row>
    <row r="107" customFormat="false" ht="15" hidden="false" customHeight="false" outlineLevel="0" collapsed="false">
      <c r="A107" s="3" t="s">
        <v>116</v>
      </c>
      <c r="B107" s="16" t="n">
        <f aca="false">-SUMIFS(Trial_Balance!$H$5:$H$38,Trial_Balance!$A$5:$A$38,2410)</f>
        <v>-0</v>
      </c>
    </row>
    <row r="108" customFormat="false" ht="15" hidden="false" customHeight="false" outlineLevel="0" collapsed="false">
      <c r="A108" s="5" t="s">
        <v>774</v>
      </c>
      <c r="B108" s="13" t="n">
        <f aca="false">SUM(B105:B107)</f>
        <v>585000</v>
      </c>
    </row>
    <row r="109" customFormat="false" ht="15" hidden="false" customHeight="false" outlineLevel="0" collapsed="false">
      <c r="A109" s="5" t="s">
        <v>775</v>
      </c>
      <c r="B109" s="22" t="n">
        <f aca="false">-SUMIFS(Trial_Balance!$H$5:$H$38,Trial_Balance!$A$5:$A$38,2400)</f>
        <v>143854</v>
      </c>
    </row>
    <row r="111" customFormat="false" ht="15" hidden="false" customHeight="false" outlineLevel="0" collapsed="false">
      <c r="A111" s="5" t="s">
        <v>776</v>
      </c>
    </row>
    <row r="112" customFormat="false" ht="15" hidden="false" customHeight="false" outlineLevel="0" collapsed="false">
      <c r="A112" s="5" t="s">
        <v>777</v>
      </c>
      <c r="B112" s="22" t="n">
        <f aca="false">-SUMIFS(Trial_Balance!$H$5:$H$38,Trial_Balance!$A$5:$A$38,3000)</f>
        <v>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5"/>
    <col collapsed="false" customWidth="true" hidden="false" outlineLevel="0" max="6" min="6" style="0" width="50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5" t="s">
        <v>778</v>
      </c>
    </row>
    <row r="3" customFormat="false" ht="15" hidden="false" customHeight="false" outlineLevel="0" collapsed="false">
      <c r="A3" s="11" t="s">
        <v>779</v>
      </c>
    </row>
    <row r="5" customFormat="false" ht="15" hidden="false" customHeight="false" outlineLevel="0" collapsed="false">
      <c r="A5" s="12" t="s">
        <v>606</v>
      </c>
      <c r="B5" s="12" t="str">
        <f aca="false">Settings!$B$4&amp;"A"</f>
        <v>2025A</v>
      </c>
      <c r="C5" s="12" t="str">
        <f aca="false">Settings!$B$4+1&amp;"F"</f>
        <v>2026F</v>
      </c>
      <c r="D5" s="12" t="str">
        <f aca="false">Settings!$B$4+2&amp;"F"</f>
        <v>2027F</v>
      </c>
      <c r="E5" s="12" t="str">
        <f aca="false">Settings!$B$4+3&amp;"F"</f>
        <v>2028F</v>
      </c>
      <c r="F5" s="12" t="s">
        <v>780</v>
      </c>
    </row>
    <row r="7" customFormat="false" ht="15" hidden="false" customHeight="false" outlineLevel="0" collapsed="false">
      <c r="A7" s="5" t="s">
        <v>781</v>
      </c>
    </row>
    <row r="8" customFormat="false" ht="15" hidden="false" customHeight="false" outlineLevel="0" collapsed="false">
      <c r="A8" s="3" t="s">
        <v>782</v>
      </c>
      <c r="C8" s="9" t="n">
        <v>0.15</v>
      </c>
      <c r="D8" s="9" t="n">
        <v>0.12</v>
      </c>
      <c r="E8" s="9" t="n">
        <v>0.1</v>
      </c>
      <c r="F8" s="11" t="s">
        <v>783</v>
      </c>
    </row>
    <row r="9" customFormat="false" ht="15" hidden="false" customHeight="false" outlineLevel="0" collapsed="false">
      <c r="A9" s="3" t="s">
        <v>784</v>
      </c>
      <c r="B9" s="25" t="n">
        <f aca="false">-B23/B22</f>
        <v>0.282352941176471</v>
      </c>
      <c r="C9" s="9" t="n">
        <v>0.28</v>
      </c>
      <c r="D9" s="9" t="n">
        <v>0.28</v>
      </c>
      <c r="E9" s="9" t="n">
        <v>0.28</v>
      </c>
      <c r="F9" s="11" t="s">
        <v>785</v>
      </c>
    </row>
    <row r="10" customFormat="false" ht="15" hidden="false" customHeight="false" outlineLevel="0" collapsed="false">
      <c r="A10" s="3" t="s">
        <v>786</v>
      </c>
      <c r="C10" s="9" t="n">
        <v>0.08</v>
      </c>
      <c r="D10" s="9" t="n">
        <v>0.08</v>
      </c>
      <c r="E10" s="9" t="n">
        <v>0.08</v>
      </c>
      <c r="F10" s="11" t="s">
        <v>787</v>
      </c>
    </row>
    <row r="11" customFormat="false" ht="15" hidden="false" customHeight="false" outlineLevel="0" collapsed="false">
      <c r="A11" s="3" t="s">
        <v>788</v>
      </c>
      <c r="B11" s="25" t="n">
        <f aca="false">-B27/B22</f>
        <v>0.00767263427109974</v>
      </c>
      <c r="C11" s="9" t="n">
        <v>0.01</v>
      </c>
      <c r="D11" s="9" t="n">
        <v>0.01</v>
      </c>
      <c r="E11" s="9" t="n">
        <v>0.01</v>
      </c>
    </row>
    <row r="12" customFormat="false" ht="15" hidden="false" customHeight="false" outlineLevel="0" collapsed="false">
      <c r="A12" s="3" t="s">
        <v>789</v>
      </c>
      <c r="C12" s="10" t="n">
        <v>1000000</v>
      </c>
      <c r="D12" s="10" t="n">
        <v>600000</v>
      </c>
      <c r="E12" s="10" t="n">
        <v>800000</v>
      </c>
      <c r="F12" s="11" t="s">
        <v>790</v>
      </c>
    </row>
    <row r="13" customFormat="false" ht="15" hidden="false" customHeight="false" outlineLevel="0" collapsed="false">
      <c r="A13" s="3" t="s">
        <v>791</v>
      </c>
      <c r="C13" s="8" t="n">
        <v>3</v>
      </c>
      <c r="F13" s="11" t="s">
        <v>792</v>
      </c>
    </row>
    <row r="14" customFormat="false" ht="15" hidden="false" customHeight="false" outlineLevel="0" collapsed="false">
      <c r="A14" s="3" t="s">
        <v>793</v>
      </c>
      <c r="B14" s="26" t="n">
        <f aca="false">B37/B22*365</f>
        <v>21.4705882352941</v>
      </c>
      <c r="C14" s="27" t="n">
        <v>21</v>
      </c>
      <c r="D14" s="27" t="n">
        <v>21</v>
      </c>
      <c r="E14" s="27" t="n">
        <v>21</v>
      </c>
    </row>
    <row r="15" customFormat="false" ht="15" hidden="false" customHeight="false" outlineLevel="0" collapsed="false">
      <c r="A15" s="3" t="s">
        <v>794</v>
      </c>
      <c r="B15" s="25" t="n">
        <f aca="false">B38/-B25</f>
        <v>0.0306845279842895</v>
      </c>
      <c r="C15" s="9" t="n">
        <v>0.03</v>
      </c>
      <c r="D15" s="9" t="n">
        <v>0.03</v>
      </c>
      <c r="E15" s="9" t="n">
        <v>0.03</v>
      </c>
      <c r="F15" s="11" t="s">
        <v>795</v>
      </c>
    </row>
    <row r="16" customFormat="false" ht="15" hidden="false" customHeight="false" outlineLevel="0" collapsed="false">
      <c r="A16" s="3" t="s">
        <v>796</v>
      </c>
      <c r="B16" s="26" t="n">
        <f aca="false">B47/-(B23+B25+B27)*365</f>
        <v>12.5040992246609</v>
      </c>
      <c r="C16" s="27" t="n">
        <v>13</v>
      </c>
      <c r="D16" s="27" t="n">
        <v>13</v>
      </c>
      <c r="E16" s="27" t="n">
        <v>13</v>
      </c>
    </row>
    <row r="17" customFormat="false" ht="15" hidden="false" customHeight="false" outlineLevel="0" collapsed="false">
      <c r="A17" s="3" t="s">
        <v>72</v>
      </c>
      <c r="B17" s="21" t="n">
        <f aca="false">Settings!$B$5</f>
        <v>0.28</v>
      </c>
      <c r="C17" s="25" t="n">
        <f aca="false">Settings!$B$5</f>
        <v>0.28</v>
      </c>
      <c r="D17" s="25" t="n">
        <f aca="false">Settings!$B$5</f>
        <v>0.28</v>
      </c>
      <c r="E17" s="25" t="n">
        <f aca="false">Settings!$B$5</f>
        <v>0.28</v>
      </c>
      <c r="F17" s="11" t="s">
        <v>797</v>
      </c>
    </row>
    <row r="18" customFormat="false" ht="15" hidden="false" customHeight="false" outlineLevel="0" collapsed="false">
      <c r="A18" s="3" t="s">
        <v>798</v>
      </c>
      <c r="C18" s="9" t="n">
        <v>0.25</v>
      </c>
      <c r="D18" s="9" t="n">
        <v>0.25</v>
      </c>
      <c r="E18" s="9" t="n">
        <v>0.25</v>
      </c>
      <c r="F18" s="11" t="s">
        <v>799</v>
      </c>
    </row>
    <row r="19" customFormat="false" ht="15" hidden="false" customHeight="false" outlineLevel="0" collapsed="false">
      <c r="A19" s="3" t="s">
        <v>800</v>
      </c>
      <c r="B19" s="25" t="n">
        <f aca="false">B67/B32</f>
        <v>0.496208963518717</v>
      </c>
      <c r="C19" s="9" t="n">
        <v>0.3</v>
      </c>
      <c r="D19" s="9" t="n">
        <v>0.3</v>
      </c>
      <c r="E19" s="9" t="n">
        <v>0.3</v>
      </c>
      <c r="F19" s="11" t="s">
        <v>801</v>
      </c>
    </row>
    <row r="21" customFormat="false" ht="15" hidden="false" customHeight="false" outlineLevel="0" collapsed="false">
      <c r="A21" s="5" t="s">
        <v>802</v>
      </c>
    </row>
    <row r="22" customFormat="false" ht="15" hidden="false" customHeight="false" outlineLevel="0" collapsed="false">
      <c r="A22" s="3" t="s">
        <v>126</v>
      </c>
      <c r="B22" s="4" t="n">
        <f aca="false">SoCI!C6</f>
        <v>19550000</v>
      </c>
      <c r="C22" s="16" t="n">
        <f aca="false">ROUND(B22*(1+C8),0)</f>
        <v>22482500</v>
      </c>
      <c r="D22" s="16" t="n">
        <f aca="false">ROUND(C22*(1+D8),0)</f>
        <v>25180400</v>
      </c>
      <c r="E22" s="16" t="n">
        <f aca="false">ROUND(D22*(1+E8),0)</f>
        <v>27698440</v>
      </c>
    </row>
    <row r="23" customFormat="false" ht="15" hidden="false" customHeight="false" outlineLevel="0" collapsed="false">
      <c r="A23" s="3" t="s">
        <v>132</v>
      </c>
      <c r="B23" s="4" t="n">
        <f aca="false">SoCI!C7</f>
        <v>-5520000</v>
      </c>
      <c r="C23" s="16" t="n">
        <f aca="false">-ROUND(C22*C9,0)</f>
        <v>-6295100</v>
      </c>
      <c r="D23" s="16" t="n">
        <f aca="false">-ROUND(D22*D9,0)</f>
        <v>-7050512</v>
      </c>
      <c r="E23" s="16" t="n">
        <f aca="false">-ROUND(E22*E9,0)</f>
        <v>-7755563</v>
      </c>
    </row>
    <row r="24" customFormat="false" ht="15" hidden="false" customHeight="false" outlineLevel="0" collapsed="false">
      <c r="A24" s="5" t="s">
        <v>692</v>
      </c>
      <c r="B24" s="13" t="n">
        <f aca="false">B22+B23</f>
        <v>14030000</v>
      </c>
      <c r="C24" s="13" t="n">
        <f aca="false">C22+C23</f>
        <v>16187400</v>
      </c>
      <c r="D24" s="13" t="n">
        <f aca="false">D22+D23</f>
        <v>18129888</v>
      </c>
      <c r="E24" s="13" t="n">
        <f aca="false">E22+E23</f>
        <v>19942877</v>
      </c>
    </row>
    <row r="25" customFormat="false" ht="15" hidden="false" customHeight="false" outlineLevel="0" collapsed="false">
      <c r="A25" s="3" t="s">
        <v>803</v>
      </c>
      <c r="B25" s="4" t="n">
        <f aca="false">SoCI!C10+SUMIFS(Trial_Balance!$H$5:$H$38,Trial_Balance!$A$5:$A$38,6100)</f>
        <v>-11406400</v>
      </c>
      <c r="C25" s="16" t="n">
        <f aca="false">ROUND(B25*(1+C10),0)</f>
        <v>-12318912</v>
      </c>
      <c r="D25" s="16" t="n">
        <f aca="false">ROUND(C25*(1+D10),0)</f>
        <v>-13304425</v>
      </c>
      <c r="E25" s="16" t="n">
        <f aca="false">ROUND(D25*(1+E10),0)</f>
        <v>-14368779</v>
      </c>
    </row>
    <row r="26" customFormat="false" ht="15" hidden="false" customHeight="false" outlineLevel="0" collapsed="false">
      <c r="A26" s="3" t="s">
        <v>148</v>
      </c>
      <c r="B26" s="4" t="n">
        <f aca="false">-SUMIFS(Trial_Balance!$H$5:$H$38,Trial_Balance!$A$5:$A$38,6100)</f>
        <v>-1090000</v>
      </c>
      <c r="C26" s="16" t="n">
        <f aca="false">-ROUND(C77+C78,0)</f>
        <v>-1593333</v>
      </c>
      <c r="D26" s="16" t="n">
        <f aca="false">-ROUND(D77+D78,0)</f>
        <v>-1643333</v>
      </c>
      <c r="E26" s="16" t="n">
        <f aca="false">-ROUND(E77+E78,0)</f>
        <v>-1270000</v>
      </c>
      <c r="F26" s="11" t="s">
        <v>804</v>
      </c>
    </row>
    <row r="27" customFormat="false" ht="15" hidden="false" customHeight="false" outlineLevel="0" collapsed="false">
      <c r="A27" s="3" t="s">
        <v>150</v>
      </c>
      <c r="B27" s="4" t="n">
        <f aca="false">SoCI!C11</f>
        <v>-150000</v>
      </c>
      <c r="C27" s="16" t="n">
        <f aca="false">-ROUND(C22*C11,0)</f>
        <v>-224825</v>
      </c>
      <c r="D27" s="16" t="n">
        <f aca="false">-ROUND(D22*D11,0)</f>
        <v>-251804</v>
      </c>
      <c r="E27" s="16" t="n">
        <f aca="false">-ROUND(E22*E11,0)</f>
        <v>-276984</v>
      </c>
    </row>
    <row r="28" customFormat="false" ht="15" hidden="false" customHeight="false" outlineLevel="0" collapsed="false">
      <c r="A28" s="5" t="s">
        <v>694</v>
      </c>
      <c r="B28" s="13" t="n">
        <f aca="false">B24+B25+B26+B27</f>
        <v>1383600</v>
      </c>
      <c r="C28" s="13" t="n">
        <f aca="false">C24+C25+C26+C27</f>
        <v>2050330</v>
      </c>
      <c r="D28" s="13" t="n">
        <f aca="false">D24+D25+D26+D27</f>
        <v>2930326</v>
      </c>
      <c r="E28" s="13" t="n">
        <f aca="false">E24+E25+E26+E27</f>
        <v>4027114</v>
      </c>
    </row>
    <row r="29" customFormat="false" ht="15" hidden="false" customHeight="false" outlineLevel="0" collapsed="false">
      <c r="A29" s="3" t="s">
        <v>152</v>
      </c>
      <c r="B29" s="4" t="n">
        <f aca="false">SoCI!C15</f>
        <v>-264000</v>
      </c>
      <c r="C29" s="16" t="n">
        <f aca="false">-Loan_Schedule!$J$12</f>
        <v>-240000</v>
      </c>
      <c r="D29" s="16" t="n">
        <f aca="false">-Loan_Schedule!$J$13</f>
        <v>-112000</v>
      </c>
      <c r="E29" s="16" t="n">
        <f aca="false">-Loan_Schedule!$J$14</f>
        <v>-8000</v>
      </c>
      <c r="F29" s="11" t="s">
        <v>805</v>
      </c>
    </row>
    <row r="30" customFormat="false" ht="15" hidden="false" customHeight="false" outlineLevel="0" collapsed="false">
      <c r="A30" s="5" t="s">
        <v>623</v>
      </c>
      <c r="B30" s="13" t="n">
        <f aca="false">B28+B29</f>
        <v>1119600</v>
      </c>
      <c r="C30" s="13" t="n">
        <f aca="false">C28+C29</f>
        <v>1810330</v>
      </c>
      <c r="D30" s="13" t="n">
        <f aca="false">D28+D29</f>
        <v>2818326</v>
      </c>
      <c r="E30" s="13" t="n">
        <f aca="false">E28+E29</f>
        <v>4019114</v>
      </c>
    </row>
    <row r="31" customFormat="false" ht="15" hidden="false" customHeight="false" outlineLevel="0" collapsed="false">
      <c r="A31" s="3" t="s">
        <v>156</v>
      </c>
      <c r="B31" s="4" t="n">
        <f aca="false">SoCI!C18</f>
        <v>-313488</v>
      </c>
      <c r="C31" s="16" t="n">
        <f aca="false">-ROUND(MAX(0,C30)*C17,0)</f>
        <v>-506892</v>
      </c>
      <c r="D31" s="16" t="n">
        <f aca="false">-ROUND(MAX(0,D30)*D17,0)</f>
        <v>-789131</v>
      </c>
      <c r="E31" s="16" t="n">
        <f aca="false">-ROUND(MAX(0,E30)*E17,0)</f>
        <v>-1125352</v>
      </c>
      <c r="F31" s="11" t="s">
        <v>806</v>
      </c>
    </row>
    <row r="32" customFormat="false" ht="15" hidden="false" customHeight="false" outlineLevel="0" collapsed="false">
      <c r="A32" s="5" t="s">
        <v>698</v>
      </c>
      <c r="B32" s="24" t="n">
        <f aca="false">B30+B31</f>
        <v>806112</v>
      </c>
      <c r="C32" s="24" t="n">
        <f aca="false">C30+C31</f>
        <v>1303438</v>
      </c>
      <c r="D32" s="24" t="n">
        <f aca="false">D30+D31</f>
        <v>2029195</v>
      </c>
      <c r="E32" s="24" t="n">
        <f aca="false">E30+E31</f>
        <v>2893762</v>
      </c>
    </row>
    <row r="33" customFormat="false" ht="15" hidden="false" customHeight="false" outlineLevel="0" collapsed="false">
      <c r="A33" s="3" t="s">
        <v>807</v>
      </c>
      <c r="B33" s="6" t="str">
        <f aca="false">IF(B22&gt;Settings!$B$21,"Yes","No")</f>
        <v>No</v>
      </c>
      <c r="C33" s="3" t="str">
        <f aca="false">IF(C22&gt;Settings!$B$21,"Yes","No")</f>
        <v>Yes</v>
      </c>
      <c r="D33" s="3" t="str">
        <f aca="false">IF(D22&gt;Settings!$B$21,"Yes","No")</f>
        <v>Yes</v>
      </c>
      <c r="E33" s="3" t="str">
        <f aca="false">IF(E22&gt;Settings!$B$21,"Yes","No")</f>
        <v>Yes</v>
      </c>
      <c r="F33" s="11" t="s">
        <v>808</v>
      </c>
    </row>
    <row r="35" customFormat="false" ht="15" hidden="false" customHeight="false" outlineLevel="0" collapsed="false">
      <c r="A35" s="5" t="s">
        <v>809</v>
      </c>
    </row>
    <row r="36" customFormat="false" ht="15" hidden="false" customHeight="false" outlineLevel="0" collapsed="false">
      <c r="A36" s="3" t="s">
        <v>106</v>
      </c>
      <c r="B36" s="4" t="n">
        <f aca="false">SoFP!C8</f>
        <v>3340000</v>
      </c>
      <c r="C36" s="16" t="n">
        <f aca="false">C79</f>
        <v>2746667</v>
      </c>
      <c r="D36" s="16" t="n">
        <f aca="false">D79</f>
        <v>1703334</v>
      </c>
      <c r="E36" s="16" t="n">
        <f aca="false">E79</f>
        <v>1233334</v>
      </c>
    </row>
    <row r="37" customFormat="false" ht="15" hidden="false" customHeight="false" outlineLevel="0" collapsed="false">
      <c r="A37" s="3" t="s">
        <v>103</v>
      </c>
      <c r="B37" s="4" t="n">
        <f aca="false">SoFP!C12</f>
        <v>1150000</v>
      </c>
      <c r="C37" s="16" t="n">
        <f aca="false">ROUND(C22*C14/365,0)</f>
        <v>1293514</v>
      </c>
      <c r="D37" s="16" t="n">
        <f aca="false">ROUND(D22*D14/365,0)</f>
        <v>1448735</v>
      </c>
      <c r="E37" s="16" t="n">
        <f aca="false">ROUND(E22*E14/365,0)</f>
        <v>1593609</v>
      </c>
    </row>
    <row r="38" customFormat="false" ht="15" hidden="false" customHeight="false" outlineLevel="0" collapsed="false">
      <c r="A38" s="3" t="s">
        <v>104</v>
      </c>
      <c r="B38" s="4" t="n">
        <f aca="false">SoFP!C13</f>
        <v>350000</v>
      </c>
      <c r="C38" s="16" t="n">
        <f aca="false">ROUND(-C25*C15,0)</f>
        <v>369567</v>
      </c>
      <c r="D38" s="16" t="n">
        <f aca="false">ROUND(-D25*D15,0)</f>
        <v>399133</v>
      </c>
      <c r="E38" s="16" t="n">
        <f aca="false">ROUND(-E25*E15,0)</f>
        <v>431063</v>
      </c>
    </row>
    <row r="39" customFormat="false" ht="15" hidden="false" customHeight="false" outlineLevel="0" collapsed="false">
      <c r="A39" s="3" t="s">
        <v>673</v>
      </c>
      <c r="B39" s="4" t="n">
        <f aca="false">SoFP!C14</f>
        <v>0</v>
      </c>
      <c r="C39" s="16" t="n">
        <v>0</v>
      </c>
      <c r="D39" s="16" t="n">
        <v>0</v>
      </c>
      <c r="E39" s="16" t="n">
        <v>0</v>
      </c>
    </row>
    <row r="40" customFormat="false" ht="15" hidden="false" customHeight="false" outlineLevel="0" collapsed="false">
      <c r="A40" s="3" t="s">
        <v>101</v>
      </c>
      <c r="B40" s="4" t="n">
        <f aca="false">SoFP!C15</f>
        <v>1143454</v>
      </c>
      <c r="C40" s="16" t="n">
        <f aca="false">C71</f>
        <v>1864828</v>
      </c>
      <c r="D40" s="16" t="n">
        <f aca="false">D71</f>
        <v>3489766</v>
      </c>
      <c r="E40" s="16" t="n">
        <f aca="false">E71</f>
        <v>5769989</v>
      </c>
      <c r="F40" s="11" t="s">
        <v>810</v>
      </c>
    </row>
    <row r="41" customFormat="false" ht="15" hidden="false" customHeight="false" outlineLevel="0" collapsed="false">
      <c r="A41" s="5" t="s">
        <v>811</v>
      </c>
      <c r="B41" s="24" t="n">
        <f aca="false">SUM(B36:B40)</f>
        <v>5983454</v>
      </c>
      <c r="C41" s="24" t="n">
        <f aca="false">SUM(C36:C40)</f>
        <v>6274576</v>
      </c>
      <c r="D41" s="24" t="n">
        <f aca="false">SUM(D36:D40)</f>
        <v>7040968</v>
      </c>
      <c r="E41" s="24" t="n">
        <f aca="false">SUM(E36:E40)</f>
        <v>9027995</v>
      </c>
    </row>
    <row r="42" customFormat="false" ht="15" hidden="false" customHeight="false" outlineLevel="0" collapsed="false">
      <c r="A42" s="3" t="s">
        <v>120</v>
      </c>
      <c r="B42" s="4" t="n">
        <f aca="false">SoFP!C21</f>
        <v>1000000</v>
      </c>
      <c r="C42" s="16" t="n">
        <f aca="false">B42+C66</f>
        <v>1000000</v>
      </c>
      <c r="D42" s="16" t="n">
        <f aca="false">C42+D66</f>
        <v>1000000</v>
      </c>
      <c r="E42" s="16" t="n">
        <f aca="false">D42+E66</f>
        <v>1000000</v>
      </c>
    </row>
    <row r="43" customFormat="false" ht="15" hidden="false" customHeight="false" outlineLevel="0" collapsed="false">
      <c r="A43" s="3" t="s">
        <v>122</v>
      </c>
      <c r="B43" s="4" t="n">
        <f aca="false">SoFP!C22</f>
        <v>2192112</v>
      </c>
      <c r="C43" s="16" t="n">
        <f aca="false">B43+C32-C67</f>
        <v>3104519</v>
      </c>
      <c r="D43" s="16" t="n">
        <f aca="false">C43+D32-D67</f>
        <v>4524955</v>
      </c>
      <c r="E43" s="16" t="n">
        <f aca="false">D43+E32-E67</f>
        <v>6550588</v>
      </c>
    </row>
    <row r="44" customFormat="false" ht="15" hidden="false" customHeight="false" outlineLevel="0" collapsed="false">
      <c r="A44" s="5" t="s">
        <v>679</v>
      </c>
      <c r="B44" s="13" t="n">
        <f aca="false">B42+B43</f>
        <v>3192112</v>
      </c>
      <c r="C44" s="13" t="n">
        <f aca="false">C42+C43</f>
        <v>4104519</v>
      </c>
      <c r="D44" s="13" t="n">
        <f aca="false">D42+D43</f>
        <v>5524955</v>
      </c>
      <c r="E44" s="13" t="n">
        <f aca="false">E42+E43</f>
        <v>7550588</v>
      </c>
    </row>
    <row r="45" customFormat="false" ht="15" hidden="false" customHeight="false" outlineLevel="0" collapsed="false">
      <c r="A45" s="3" t="s">
        <v>812</v>
      </c>
      <c r="B45" s="4" t="n">
        <f aca="false">SoFP!C26+SoFP!C31</f>
        <v>1800000</v>
      </c>
      <c r="C45" s="16" t="n">
        <f aca="false">Loan_Schedule!$L$12</f>
        <v>1000000</v>
      </c>
      <c r="D45" s="16" t="n">
        <f aca="false">Loan_Schedule!$L$13</f>
        <v>200000</v>
      </c>
      <c r="E45" s="16" t="n">
        <f aca="false">Loan_Schedule!$L$14</f>
        <v>0</v>
      </c>
      <c r="F45" s="11" t="s">
        <v>813</v>
      </c>
    </row>
    <row r="46" customFormat="false" ht="15" hidden="false" customHeight="false" outlineLevel="0" collapsed="false">
      <c r="A46" s="3" t="s">
        <v>119</v>
      </c>
      <c r="B46" s="4" t="n">
        <f aca="false">SoFP!C27</f>
        <v>217000</v>
      </c>
      <c r="C46" s="16" t="n">
        <f aca="false">B46</f>
        <v>217000</v>
      </c>
      <c r="D46" s="16" t="n">
        <f aca="false">C46</f>
        <v>217000</v>
      </c>
      <c r="E46" s="16" t="n">
        <f aca="false">D46</f>
        <v>217000</v>
      </c>
      <c r="F46" s="11" t="s">
        <v>814</v>
      </c>
    </row>
    <row r="47" customFormat="false" ht="15" hidden="false" customHeight="false" outlineLevel="0" collapsed="false">
      <c r="A47" s="3" t="s">
        <v>110</v>
      </c>
      <c r="B47" s="4" t="n">
        <f aca="false">SoFP!C30</f>
        <v>585000</v>
      </c>
      <c r="C47" s="16" t="n">
        <f aca="false">ROUND(-(C23+C25+C27)*C16/365,0)</f>
        <v>670972</v>
      </c>
      <c r="D47" s="16" t="n">
        <f aca="false">ROUND(-(D23+D25+D27)*D16/365,0)</f>
        <v>733939</v>
      </c>
      <c r="E47" s="16" t="n">
        <f aca="false">ROUND(-(E23+E25+E27)*E16/365,0)</f>
        <v>797855</v>
      </c>
    </row>
    <row r="48" customFormat="false" ht="15" hidden="false" customHeight="false" outlineLevel="0" collapsed="false">
      <c r="A48" s="3" t="s">
        <v>115</v>
      </c>
      <c r="B48" s="4" t="n">
        <f aca="false">SoFP!C32</f>
        <v>143854</v>
      </c>
      <c r="C48" s="16" t="n">
        <f aca="false">ROUND(B48*(1+C10),0)</f>
        <v>155362</v>
      </c>
      <c r="D48" s="16" t="n">
        <f aca="false">ROUND(C48*(1+D10),0)</f>
        <v>167791</v>
      </c>
      <c r="E48" s="16" t="n">
        <f aca="false">ROUND(D48*(1+E10),0)</f>
        <v>181214</v>
      </c>
      <c r="F48" s="11" t="s">
        <v>815</v>
      </c>
    </row>
    <row r="49" customFormat="false" ht="15" hidden="false" customHeight="false" outlineLevel="0" collapsed="false">
      <c r="A49" s="3" t="s">
        <v>113</v>
      </c>
      <c r="B49" s="4" t="n">
        <f aca="false">SoFP!C33</f>
        <v>45488</v>
      </c>
      <c r="C49" s="16" t="n">
        <f aca="false">ROUND(-C31*C18,0)</f>
        <v>126723</v>
      </c>
      <c r="D49" s="16" t="n">
        <f aca="false">ROUND(-D31*D18,0)</f>
        <v>197283</v>
      </c>
      <c r="E49" s="16" t="n">
        <f aca="false">ROUND(-E31*E18,0)</f>
        <v>281338</v>
      </c>
    </row>
    <row r="50" customFormat="false" ht="15" hidden="false" customHeight="false" outlineLevel="0" collapsed="false">
      <c r="A50" s="5" t="s">
        <v>687</v>
      </c>
      <c r="B50" s="13" t="n">
        <f aca="false">SUM(B45:B49)</f>
        <v>2791342</v>
      </c>
      <c r="C50" s="13" t="n">
        <f aca="false">SUM(C45:C49)</f>
        <v>2170057</v>
      </c>
      <c r="D50" s="13" t="n">
        <f aca="false">SUM(D45:D49)</f>
        <v>1516013</v>
      </c>
      <c r="E50" s="13" t="n">
        <f aca="false">SUM(E45:E49)</f>
        <v>1477407</v>
      </c>
    </row>
    <row r="51" customFormat="false" ht="15" hidden="false" customHeight="false" outlineLevel="0" collapsed="false">
      <c r="A51" s="5" t="s">
        <v>816</v>
      </c>
      <c r="B51" s="24" t="n">
        <f aca="false">B44+B50</f>
        <v>5983454</v>
      </c>
      <c r="C51" s="24" t="n">
        <f aca="false">C44+C50</f>
        <v>6274576</v>
      </c>
      <c r="D51" s="24" t="n">
        <f aca="false">D44+D50</f>
        <v>7040968</v>
      </c>
      <c r="E51" s="24" t="n">
        <f aca="false">E44+E50</f>
        <v>9027995</v>
      </c>
    </row>
    <row r="52" customFormat="false" ht="15" hidden="false" customHeight="false" outlineLevel="0" collapsed="false">
      <c r="A52" s="5" t="s">
        <v>817</v>
      </c>
      <c r="B52" s="22" t="n">
        <f aca="false">B41-B51</f>
        <v>0</v>
      </c>
      <c r="C52" s="22" t="n">
        <f aca="false">C41-C51</f>
        <v>0</v>
      </c>
      <c r="D52" s="22" t="n">
        <f aca="false">D41-D51</f>
        <v>0</v>
      </c>
      <c r="E52" s="22" t="n">
        <f aca="false">E41-E51</f>
        <v>0</v>
      </c>
    </row>
    <row r="54" customFormat="false" ht="15" hidden="false" customHeight="false" outlineLevel="0" collapsed="false">
      <c r="A54" s="5" t="s">
        <v>818</v>
      </c>
    </row>
    <row r="55" customFormat="false" ht="15" hidden="false" customHeight="false" outlineLevel="0" collapsed="false">
      <c r="A55" s="3" t="s">
        <v>698</v>
      </c>
      <c r="B55" s="16" t="n">
        <f aca="false">B32</f>
        <v>806112</v>
      </c>
      <c r="C55" s="16" t="n">
        <f aca="false">C32</f>
        <v>1303438</v>
      </c>
      <c r="D55" s="16" t="n">
        <f aca="false">D32</f>
        <v>2029195</v>
      </c>
      <c r="E55" s="16" t="n">
        <f aca="false">E32</f>
        <v>2893762</v>
      </c>
    </row>
    <row r="56" customFormat="false" ht="15" hidden="false" customHeight="false" outlineLevel="0" collapsed="false">
      <c r="A56" s="3" t="s">
        <v>819</v>
      </c>
      <c r="B56" s="16" t="n">
        <f aca="false">-B26</f>
        <v>1090000</v>
      </c>
      <c r="C56" s="16" t="n">
        <f aca="false">-C26</f>
        <v>1593333</v>
      </c>
      <c r="D56" s="16" t="n">
        <f aca="false">-D26</f>
        <v>1643333</v>
      </c>
      <c r="E56" s="16" t="n">
        <f aca="false">-E26</f>
        <v>1270000</v>
      </c>
    </row>
    <row r="57" customFormat="false" ht="15" hidden="false" customHeight="false" outlineLevel="0" collapsed="false">
      <c r="A57" s="3" t="s">
        <v>820</v>
      </c>
      <c r="B57" s="4" t="n">
        <f aca="false">-(B37-SUMIFS(Trial_Balance!$E$5:$E$38,Trial_Balance!$D$5:$D$38,"Trade and other receivables"))-(B39-MAX(0,SUMIFS(Trial_Balance!$E$5:$E$38,Trial_Balance!$D$5:$D$38,"Current income tax liability")))</f>
        <v>-550000</v>
      </c>
      <c r="C57" s="16" t="n">
        <f aca="false">-(C37-B37)-(C39-B39)</f>
        <v>-143514</v>
      </c>
      <c r="D57" s="16" t="n">
        <f aca="false">-(D37-C37)-(D39-C39)</f>
        <v>-155221</v>
      </c>
      <c r="E57" s="16" t="n">
        <f aca="false">-(E37-D37)-(E39-D39)</f>
        <v>-144874</v>
      </c>
    </row>
    <row r="58" customFormat="false" ht="15" hidden="false" customHeight="false" outlineLevel="0" collapsed="false">
      <c r="A58" s="3" t="s">
        <v>821</v>
      </c>
      <c r="B58" s="4" t="n">
        <f aca="false">-(B38-SUMIFS(Trial_Balance!$E$5:$E$38,Trial_Balance!$D$5:$D$38,"Prepayments"))</f>
        <v>-350000</v>
      </c>
      <c r="C58" s="16" t="n">
        <f aca="false">-(C38-B38)</f>
        <v>-19567</v>
      </c>
      <c r="D58" s="16" t="n">
        <f aca="false">-(D38-C38)</f>
        <v>-29566</v>
      </c>
      <c r="E58" s="16" t="n">
        <f aca="false">-(E38-D38)</f>
        <v>-31930</v>
      </c>
    </row>
    <row r="59" customFormat="false" ht="15" hidden="false" customHeight="false" outlineLevel="0" collapsed="false">
      <c r="A59" s="3" t="s">
        <v>822</v>
      </c>
      <c r="B59" s="4" t="n">
        <f aca="false">B47+SUMIFS(Trial_Balance!$E$5:$E$38,Trial_Balance!$D$5:$D$38,"Trade and other payables")</f>
        <v>335000</v>
      </c>
      <c r="C59" s="16" t="n">
        <f aca="false">C47-B47</f>
        <v>85972</v>
      </c>
      <c r="D59" s="16" t="n">
        <f aca="false">D47-C47</f>
        <v>62967</v>
      </c>
      <c r="E59" s="16" t="n">
        <f aca="false">E47-D47</f>
        <v>63916</v>
      </c>
    </row>
    <row r="60" customFormat="false" ht="15" hidden="false" customHeight="false" outlineLevel="0" collapsed="false">
      <c r="A60" s="3" t="s">
        <v>823</v>
      </c>
      <c r="B60" s="4" t="n">
        <f aca="false">B48+SUMIFS(Trial_Balance!$E$5:$E$38,Trial_Balance!$D$5:$D$38,"PAYE and social security payable")</f>
        <v>143854</v>
      </c>
      <c r="C60" s="16" t="n">
        <f aca="false">C48-B48</f>
        <v>11508</v>
      </c>
      <c r="D60" s="16" t="n">
        <f aca="false">D48-C48</f>
        <v>12429</v>
      </c>
      <c r="E60" s="16" t="n">
        <f aca="false">E48-D48</f>
        <v>13423</v>
      </c>
    </row>
    <row r="61" customFormat="false" ht="15" hidden="false" customHeight="false" outlineLevel="0" collapsed="false">
      <c r="A61" s="3" t="s">
        <v>824</v>
      </c>
      <c r="B61" s="4" t="n">
        <f aca="false">B49-MAX(0,-SUMIFS(Trial_Balance!$E$5:$E$38,Trial_Balance!$D$5:$D$38,"Current income tax liability"))+B46+SUMIFS(Trial_Balance!$E$5:$E$38,Trial_Balance!$D$5:$D$38,"Deferred tax liability")</f>
        <v>-1512</v>
      </c>
      <c r="C61" s="16" t="n">
        <f aca="false">(C49-B49)+(C46-B46)</f>
        <v>81235</v>
      </c>
      <c r="D61" s="16" t="n">
        <f aca="false">(D49-C49)+(D46-C46)</f>
        <v>70560</v>
      </c>
      <c r="E61" s="16" t="n">
        <f aca="false">(E49-D49)+(E46-D46)</f>
        <v>84055</v>
      </c>
    </row>
    <row r="62" customFormat="false" ht="15" hidden="false" customHeight="false" outlineLevel="0" collapsed="false">
      <c r="A62" s="5" t="s">
        <v>716</v>
      </c>
      <c r="B62" s="13" t="n">
        <f aca="false">SUM(B55:B61)</f>
        <v>1473454</v>
      </c>
      <c r="C62" s="13" t="n">
        <f aca="false">SUM(C55:C61)</f>
        <v>2912405</v>
      </c>
      <c r="D62" s="13" t="n">
        <f aca="false">SUM(D55:D61)</f>
        <v>3633697</v>
      </c>
      <c r="E62" s="13" t="n">
        <f aca="false">SUM(E55:E61)</f>
        <v>4148352</v>
      </c>
    </row>
    <row r="63" customFormat="false" ht="15" hidden="false" customHeight="false" outlineLevel="0" collapsed="false">
      <c r="A63" s="3" t="s">
        <v>825</v>
      </c>
      <c r="B63" s="4" t="n">
        <f aca="false">SoCF!C22</f>
        <v>-3230000</v>
      </c>
      <c r="C63" s="16" t="n">
        <f aca="false">-C12</f>
        <v>-1000000</v>
      </c>
      <c r="D63" s="16" t="n">
        <f aca="false">-D12</f>
        <v>-600000</v>
      </c>
      <c r="E63" s="16" t="n">
        <f aca="false">-E12</f>
        <v>-800000</v>
      </c>
    </row>
    <row r="64" customFormat="false" ht="15" hidden="false" customHeight="false" outlineLevel="0" collapsed="false">
      <c r="A64" s="5" t="s">
        <v>719</v>
      </c>
      <c r="B64" s="13" t="n">
        <f aca="false">B63</f>
        <v>-3230000</v>
      </c>
      <c r="C64" s="13" t="n">
        <f aca="false">C63</f>
        <v>-1000000</v>
      </c>
      <c r="D64" s="13" t="n">
        <f aca="false">D63</f>
        <v>-600000</v>
      </c>
      <c r="E64" s="13" t="n">
        <f aca="false">E63</f>
        <v>-800000</v>
      </c>
    </row>
    <row r="65" customFormat="false" ht="15" hidden="false" customHeight="false" outlineLevel="0" collapsed="false">
      <c r="A65" s="3" t="s">
        <v>826</v>
      </c>
      <c r="B65" s="4" t="n">
        <f aca="false">SoCF!C26+SoCF!C27</f>
        <v>1800000</v>
      </c>
      <c r="C65" s="16" t="n">
        <f aca="false">C45-B45</f>
        <v>-800000</v>
      </c>
      <c r="D65" s="16" t="n">
        <f aca="false">D45-C45</f>
        <v>-800000</v>
      </c>
      <c r="E65" s="16" t="n">
        <f aca="false">E45-D45</f>
        <v>-200000</v>
      </c>
    </row>
    <row r="66" customFormat="false" ht="15" hidden="false" customHeight="false" outlineLevel="0" collapsed="false">
      <c r="A66" s="3" t="s">
        <v>723</v>
      </c>
      <c r="B66" s="4" t="n">
        <f aca="false">SoCF!C28</f>
        <v>0</v>
      </c>
      <c r="C66" s="10" t="n">
        <v>0</v>
      </c>
      <c r="D66" s="10" t="n">
        <v>0</v>
      </c>
      <c r="E66" s="10" t="n">
        <v>0</v>
      </c>
    </row>
    <row r="67" customFormat="false" ht="15" hidden="false" customHeight="false" outlineLevel="0" collapsed="false">
      <c r="A67" s="3" t="s">
        <v>724</v>
      </c>
      <c r="B67" s="4" t="n">
        <f aca="false">-SoCF!C29</f>
        <v>400000</v>
      </c>
      <c r="C67" s="16" t="n">
        <f aca="false">ROUND(MAX(0,C32)*C19,0)</f>
        <v>391031</v>
      </c>
      <c r="D67" s="16" t="n">
        <f aca="false">ROUND(MAX(0,D32)*D19,0)</f>
        <v>608759</v>
      </c>
      <c r="E67" s="16" t="n">
        <f aca="false">ROUND(MAX(0,E32)*E19,0)</f>
        <v>868129</v>
      </c>
      <c r="F67" s="11" t="s">
        <v>827</v>
      </c>
    </row>
    <row r="68" customFormat="false" ht="15" hidden="false" customHeight="false" outlineLevel="0" collapsed="false">
      <c r="A68" s="5" t="s">
        <v>725</v>
      </c>
      <c r="B68" s="13" t="n">
        <f aca="false">B65+B66-B67</f>
        <v>1400000</v>
      </c>
      <c r="C68" s="13" t="n">
        <f aca="false">C65+C66-C67</f>
        <v>-1191031</v>
      </c>
      <c r="D68" s="13" t="n">
        <f aca="false">D65+D66-D67</f>
        <v>-1408759</v>
      </c>
      <c r="E68" s="13" t="n">
        <f aca="false">E65+E66-E67</f>
        <v>-1068129</v>
      </c>
    </row>
    <row r="69" customFormat="false" ht="15" hidden="false" customHeight="false" outlineLevel="0" collapsed="false">
      <c r="A69" s="5" t="s">
        <v>828</v>
      </c>
      <c r="B69" s="22" t="n">
        <f aca="false">B62+B64+B68</f>
        <v>-356546</v>
      </c>
      <c r="C69" s="22" t="n">
        <f aca="false">C62+C64+C68</f>
        <v>721374</v>
      </c>
      <c r="D69" s="22" t="n">
        <f aca="false">D62+D64+D68</f>
        <v>1624938</v>
      </c>
      <c r="E69" s="22" t="n">
        <f aca="false">E62+E64+E68</f>
        <v>2280223</v>
      </c>
    </row>
    <row r="70" customFormat="false" ht="15" hidden="false" customHeight="false" outlineLevel="0" collapsed="false">
      <c r="A70" s="3" t="s">
        <v>829</v>
      </c>
      <c r="B70" s="4" t="n">
        <f aca="false">SUMIFS(Trial_Balance!$E$5:$E$38,Trial_Balance!$A$5:$A$38,Settings!$B$6)</f>
        <v>1500000</v>
      </c>
      <c r="C70" s="16" t="n">
        <f aca="false">B71</f>
        <v>1143454</v>
      </c>
      <c r="D70" s="16" t="n">
        <f aca="false">C71</f>
        <v>1864828</v>
      </c>
      <c r="E70" s="16" t="n">
        <f aca="false">D71</f>
        <v>3489766</v>
      </c>
    </row>
    <row r="71" customFormat="false" ht="15" hidden="false" customHeight="false" outlineLevel="0" collapsed="false">
      <c r="A71" s="5" t="s">
        <v>830</v>
      </c>
      <c r="B71" s="24" t="n">
        <f aca="false">B70+B69</f>
        <v>1143454</v>
      </c>
      <c r="C71" s="24" t="n">
        <f aca="false">C70+C69</f>
        <v>1864828</v>
      </c>
      <c r="D71" s="24" t="n">
        <f aca="false">D70+D69</f>
        <v>3489766</v>
      </c>
      <c r="E71" s="24" t="n">
        <f aca="false">E70+E69</f>
        <v>5769989</v>
      </c>
    </row>
    <row r="72" customFormat="false" ht="15" hidden="false" customHeight="false" outlineLevel="0" collapsed="false">
      <c r="A72" s="3" t="s">
        <v>831</v>
      </c>
      <c r="B72" s="4" t="n">
        <f aca="false">B71-SoCF!C34</f>
        <v>0</v>
      </c>
      <c r="F72" s="11" t="s">
        <v>832</v>
      </c>
    </row>
    <row r="74" customFormat="false" ht="15" hidden="false" customHeight="false" outlineLevel="0" collapsed="false">
      <c r="A74" s="5" t="s">
        <v>833</v>
      </c>
    </row>
    <row r="75" customFormat="false" ht="15" hidden="false" customHeight="false" outlineLevel="0" collapsed="false">
      <c r="A75" s="3" t="s">
        <v>834</v>
      </c>
      <c r="C75" s="16" t="n">
        <f aca="false">B36</f>
        <v>3340000</v>
      </c>
      <c r="D75" s="16" t="n">
        <f aca="false">C36</f>
        <v>2746667</v>
      </c>
      <c r="E75" s="16" t="n">
        <f aca="false">D36</f>
        <v>1703334</v>
      </c>
    </row>
    <row r="76" customFormat="false" ht="15" hidden="false" customHeight="false" outlineLevel="0" collapsed="false">
      <c r="A76" s="3" t="s">
        <v>619</v>
      </c>
      <c r="C76" s="16" t="n">
        <f aca="false">C12</f>
        <v>1000000</v>
      </c>
      <c r="D76" s="16" t="n">
        <f aca="false">D12</f>
        <v>600000</v>
      </c>
      <c r="E76" s="16" t="n">
        <f aca="false">E12</f>
        <v>800000</v>
      </c>
    </row>
    <row r="77" customFormat="false" ht="15" hidden="false" customHeight="false" outlineLevel="0" collapsed="false">
      <c r="A77" s="3" t="s">
        <v>835</v>
      </c>
      <c r="C77" s="16" t="n">
        <f aca="false">Fixed_Assets!M9</f>
        <v>1260000</v>
      </c>
      <c r="D77" s="16" t="n">
        <f aca="false">Fixed_Assets!N9</f>
        <v>1110000</v>
      </c>
      <c r="E77" s="16" t="n">
        <f aca="false">Fixed_Assets!O9</f>
        <v>470000</v>
      </c>
      <c r="F77" s="11" t="s">
        <v>836</v>
      </c>
    </row>
    <row r="78" customFormat="false" ht="15" hidden="false" customHeight="false" outlineLevel="0" collapsed="false">
      <c r="A78" s="3" t="s">
        <v>837</v>
      </c>
      <c r="C78" s="16" t="n">
        <f aca="false">SUM($C12:C12)/$C13</f>
        <v>333333.333333333</v>
      </c>
      <c r="D78" s="16" t="n">
        <f aca="false">SUM($C12:D12)/$C13</f>
        <v>533333.333333333</v>
      </c>
      <c r="E78" s="16" t="n">
        <f aca="false">SUM($C12:E12)/$C13</f>
        <v>800000</v>
      </c>
      <c r="F78" s="11" t="s">
        <v>838</v>
      </c>
    </row>
    <row r="79" customFormat="false" ht="15" hidden="false" customHeight="false" outlineLevel="0" collapsed="false">
      <c r="A79" s="5" t="s">
        <v>839</v>
      </c>
      <c r="C79" s="13" t="n">
        <f aca="false">C75+C76-ROUND(C77+C78,0)</f>
        <v>2746667</v>
      </c>
      <c r="D79" s="13" t="n">
        <f aca="false">D75+D76-ROUND(D77+D78,0)</f>
        <v>1703334</v>
      </c>
      <c r="E79" s="13" t="n">
        <f aca="false">E75+E76-ROUND(E77+E78,0)</f>
        <v>1233334</v>
      </c>
    </row>
    <row r="81" customFormat="false" ht="15" hidden="false" customHeight="false" outlineLevel="0" collapsed="false">
      <c r="A81" s="5" t="s">
        <v>840</v>
      </c>
    </row>
    <row r="82" customFormat="false" ht="15" hidden="false" customHeight="false" outlineLevel="0" collapsed="false">
      <c r="A82" s="3" t="s">
        <v>782</v>
      </c>
      <c r="C82" s="25" t="n">
        <f aca="false">C22/B22-1</f>
        <v>0.15</v>
      </c>
      <c r="D82" s="25" t="n">
        <f aca="false">D22/C22-1</f>
        <v>0.12</v>
      </c>
      <c r="E82" s="25" t="n">
        <f aca="false">E22/D22-1</f>
        <v>0.1</v>
      </c>
    </row>
    <row r="83" customFormat="false" ht="15" hidden="false" customHeight="false" outlineLevel="0" collapsed="false">
      <c r="A83" s="3" t="s">
        <v>841</v>
      </c>
      <c r="B83" s="25" t="n">
        <f aca="false">B24/B22</f>
        <v>0.717647058823529</v>
      </c>
      <c r="C83" s="25" t="n">
        <f aca="false">C24/C22</f>
        <v>0.72</v>
      </c>
      <c r="D83" s="25" t="n">
        <f aca="false">D24/D22</f>
        <v>0.72</v>
      </c>
      <c r="E83" s="25" t="n">
        <f aca="false">E24/E22</f>
        <v>0.720000007220623</v>
      </c>
    </row>
    <row r="84" customFormat="false" ht="15" hidden="false" customHeight="false" outlineLevel="0" collapsed="false">
      <c r="A84" s="3" t="s">
        <v>842</v>
      </c>
      <c r="B84" s="25" t="n">
        <f aca="false">B28/B22</f>
        <v>0.0707723785166241</v>
      </c>
      <c r="C84" s="25" t="n">
        <f aca="false">C28/C22</f>
        <v>0.0911967085510953</v>
      </c>
      <c r="D84" s="25" t="n">
        <f aca="false">D28/D22</f>
        <v>0.116373290336929</v>
      </c>
      <c r="E84" s="25" t="n">
        <f aca="false">E28/E22</f>
        <v>0.145391365001061</v>
      </c>
    </row>
    <row r="85" customFormat="false" ht="15" hidden="false" customHeight="false" outlineLevel="0" collapsed="false">
      <c r="A85" s="3" t="s">
        <v>843</v>
      </c>
      <c r="B85" s="25" t="n">
        <f aca="false">B32/B22</f>
        <v>0.0412333503836317</v>
      </c>
      <c r="C85" s="25" t="n">
        <f aca="false">C32/C22</f>
        <v>0.0579756699655288</v>
      </c>
      <c r="D85" s="25" t="n">
        <f aca="false">D32/D22</f>
        <v>0.0805862893361503</v>
      </c>
      <c r="E85" s="25" t="n">
        <f aca="false">E32/E22</f>
        <v>0.104473825962762</v>
      </c>
    </row>
    <row r="86" customFormat="false" ht="15" hidden="false" customHeight="false" outlineLevel="0" collapsed="false">
      <c r="A86" s="3" t="s">
        <v>844</v>
      </c>
      <c r="B86" s="25" t="n">
        <f aca="false">B32/B44</f>
        <v>0.252532492594245</v>
      </c>
      <c r="C86" s="25" t="n">
        <f aca="false">C32/C44</f>
        <v>0.317561692368826</v>
      </c>
      <c r="D86" s="25" t="n">
        <f aca="false">D32/D44</f>
        <v>0.367278104527548</v>
      </c>
      <c r="E86" s="25" t="n">
        <f aca="false">E32/E44</f>
        <v>0.383249887293546</v>
      </c>
    </row>
    <row r="87" customFormat="false" ht="15" hidden="false" customHeight="false" outlineLevel="0" collapsed="false">
      <c r="A87" s="3" t="s">
        <v>845</v>
      </c>
      <c r="B87" s="28" t="n">
        <f aca="false">B45/B44</f>
        <v>0.563889988822447</v>
      </c>
      <c r="C87" s="28" t="n">
        <f aca="false">C45/C44</f>
        <v>0.24363390692064</v>
      </c>
      <c r="D87" s="28" t="n">
        <f aca="false">D45/D44</f>
        <v>0.0361993898592839</v>
      </c>
      <c r="E87" s="28" t="n">
        <f aca="false">E45/E44</f>
        <v>0</v>
      </c>
    </row>
    <row r="88" customFormat="false" ht="15" hidden="false" customHeight="false" outlineLevel="0" collapsed="false">
      <c r="A88" s="3" t="s">
        <v>846</v>
      </c>
      <c r="B88" s="26" t="n">
        <f aca="false">B28/-B29</f>
        <v>5.24090909090909</v>
      </c>
      <c r="C88" s="26" t="n">
        <f aca="false">IF(C29=0,"n/a",C28/-C29)</f>
        <v>8.54304166666667</v>
      </c>
      <c r="D88" s="26" t="n">
        <f aca="false">IF(D29=0,"n/a",D28/-D29)</f>
        <v>26.163625</v>
      </c>
      <c r="E88" s="26" t="n">
        <f aca="false">IF(E29=0,"n/a",E28/-E29)</f>
        <v>503.38925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2026-10-15T08:23:45Z</dcterms:created>
  <dc:creator>openpyxl</dc:creator>
  <dc:description/>
  <dc:language>en-US</dc:language>
  <cp:lastModifiedBy/>
  <dcterms:modified xsi:type="dcterms:W3CDTF">2026-10-15T08:23:45Z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
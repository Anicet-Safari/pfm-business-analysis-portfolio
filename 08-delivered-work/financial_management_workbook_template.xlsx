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_Me" sheetId="1" state="visible" r:id="rId3"/>
    <sheet name="Settings" sheetId="2" state="visible" r:id="rId4"/>
    <sheet name="Chart_of_Accounts" sheetId="3" state="visible" r:id="rId5"/>
    <sheet name="Cash_Book" sheetId="4" state="visible" r:id="rId6"/>
    <sheet name="Budget" sheetId="5" state="visible" r:id="rId7"/>
    <sheet name="Budget_vs_Actual" sheetId="6" state="visible" r:id="rId8"/>
    <sheet name="Income_Statement" sheetId="7" state="visible" r:id="rId9"/>
    <sheet name="Balance_Sheet" sheetId="8" state="visible" r:id="rId10"/>
    <sheet name="Cash_Flow" sheetId="9" state="visible" r:id="rId11"/>
    <sheet name="Bank_Reconciliation" sheetId="10" state="visible" r:id="rId12"/>
    <sheet name="Checks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<sst xmlns="http://schemas.openxmlformats.org/spreadsheetml/2006/main" count="343" uniqueCount="298">
  <si>
    <t xml:space="preserve">Simplified Financial Management Workbook — template</t>
  </si>
  <si>
    <t xml:space="preserve">Author: Anicet Safari, CPA · Rebuilt template, October 2026</t>
  </si>
  <si>
    <t xml:space="preserve">What this file is</t>
  </si>
  <si>
    <t xml:space="preserve">A rebuilt version of the workbook design I delivered to a small Kigali company under a pro bono Fractional CFO engagement (May 2023 to date).</t>
  </si>
  <si>
    <t xml:space="preserve">The client file itself is not published. This template reproduces its structure and logic; the company and every figure in it are fictional.</t>
  </si>
  <si>
    <t xml:space="preserve">How it works (one data entry point, everything else calculated)</t>
  </si>
  <si>
    <t xml:space="preserve">1. Settings — company name, financial year, opening balances.</t>
  </si>
  <si>
    <t xml:space="preserve">2. Chart_of_Accounts — account codes, types and where each one appears in the statements.</t>
  </si>
  <si>
    <t xml:space="preserve">3. Cash_Book — every receipt and payment, coded to an account. This is the only transaction entry sheet.</t>
  </si>
  <si>
    <t xml:space="preserve">4. Budget — annual budget by account, phased by month.</t>
  </si>
  <si>
    <t xml:space="preserve">5. Budget_vs_Actual — year-to-date budget, actual and variance for the month chosen in Settings.</t>
  </si>
  <si>
    <t xml:space="preserve">6. Income_Statement, Balance_Sheet, Cash_Flow — produced automatically from the cash book.</t>
  </si>
  <si>
    <t xml:space="preserve">7. Bank_Reconciliation — agrees the cash book to the bank statement each month.</t>
  </si>
  <si>
    <t xml:space="preserve">8. Checks — confirms the books balance and every transaction is validly coded.</t>
  </si>
  <si>
    <t xml:space="preserve">Colour legend</t>
  </si>
  <si>
    <t xml:space="preserve">Blue text on yellow = input · Black = formula · Green = linked from another sheet</t>
  </si>
  <si>
    <t xml:space="preserve">Example input row: Cash_Book row 5 (first receipt of the year). Change any blue amount and every report and check updates.</t>
  </si>
  <si>
    <t xml:space="preserve">Settings</t>
  </si>
  <si>
    <t xml:space="preserve">Company name</t>
  </si>
  <si>
    <t xml:space="preserve">Example Tech Ltd (fictional)</t>
  </si>
  <si>
    <t xml:space="preserve">Financial year</t>
  </si>
  <si>
    <t xml:space="preserve">Reporting month (1-12) for Budget_vs_Actual</t>
  </si>
  <si>
    <t xml:space="preserve">Opening cash at bank, 1 January</t>
  </si>
  <si>
    <t xml:space="preserve">Opening equipment at cost, 1 January</t>
  </si>
  <si>
    <t xml:space="preserve">Opening owner's capital, 1 January</t>
  </si>
  <si>
    <t xml:space="preserve">Variance threshold for comment (±)</t>
  </si>
  <si>
    <t xml:space="preserve">All amounts in Rwandan francs (RWF). Figures are fictional, entered by the author for illustration.</t>
  </si>
  <si>
    <t xml:space="preserve">Chart of accounts</t>
  </si>
  <si>
    <t xml:space="preserve">Code</t>
  </si>
  <si>
    <t xml:space="preserve">Account name</t>
  </si>
  <si>
    <t xml:space="preserve">Type</t>
  </si>
  <si>
    <t xml:space="preserve">Statement line</t>
  </si>
  <si>
    <t xml:space="preserve">Cash flow class</t>
  </si>
  <si>
    <t xml:space="preserve">Office and IT equipment</t>
  </si>
  <si>
    <t xml:space="preserve">Asset</t>
  </si>
  <si>
    <t xml:space="preserve">Equipment at cost</t>
  </si>
  <si>
    <t xml:space="preserve">Investing</t>
  </si>
  <si>
    <t xml:space="preserve">Owner's capital introduced</t>
  </si>
  <si>
    <t xml:space="preserve">Equity</t>
  </si>
  <si>
    <t xml:space="preserve">Owner's capital</t>
  </si>
  <si>
    <t xml:space="preserve">Financing</t>
  </si>
  <si>
    <t xml:space="preserve">Owner's drawings</t>
  </si>
  <si>
    <t xml:space="preserve">Software development services</t>
  </si>
  <si>
    <t xml:space="preserve">Income</t>
  </si>
  <si>
    <t xml:space="preserve">Revenue</t>
  </si>
  <si>
    <t xml:space="preserve">Operating</t>
  </si>
  <si>
    <t xml:space="preserve">IT support and maintenance</t>
  </si>
  <si>
    <t xml:space="preserve">Training fees</t>
  </si>
  <si>
    <t xml:space="preserve">Contractor and staff costs</t>
  </si>
  <si>
    <t xml:space="preserve">Expense</t>
  </si>
  <si>
    <t xml:space="preserve">Staff and contractors</t>
  </si>
  <si>
    <t xml:space="preserve">Office rent</t>
  </si>
  <si>
    <t xml:space="preserve">Premises</t>
  </si>
  <si>
    <t xml:space="preserve">Internet and communication</t>
  </si>
  <si>
    <t xml:space="preserve">Operating costs</t>
  </si>
  <si>
    <t xml:space="preserve">Electricity and water</t>
  </si>
  <si>
    <t xml:space="preserve">Transport</t>
  </si>
  <si>
    <t xml:space="preserve">Software subscriptions</t>
  </si>
  <si>
    <t xml:space="preserve">Bank charges</t>
  </si>
  <si>
    <t xml:space="preserve">Finance costs</t>
  </si>
  <si>
    <t xml:space="preserve">Marketing</t>
  </si>
  <si>
    <t xml:space="preserve">Taxes, licences and RRA fees</t>
  </si>
  <si>
    <t xml:space="preserve">Taxes and licences</t>
  </si>
  <si>
    <t xml:space="preserve">Codes: 1xxx assets · 3xxx equity · 4xxx income · 5xxx expenses. Cash at bank is the cash book itself, so it has no code.</t>
  </si>
  <si>
    <t xml:space="preserve">Cash book — bank account</t>
  </si>
  <si>
    <t xml:space="preserve">Enter one line per receipt or payment. Columns A–F are inputs; G–K are calculated.</t>
  </si>
  <si>
    <t xml:space="preserve">Date</t>
  </si>
  <si>
    <t xml:space="preserve">Reference</t>
  </si>
  <si>
    <t xml:space="preserve">Description</t>
  </si>
  <si>
    <t xml:space="preserve">Account code</t>
  </si>
  <si>
    <t xml:space="preserve">Receipt</t>
  </si>
  <si>
    <t xml:space="preserve">Payment</t>
  </si>
  <si>
    <t xml:space="preserve">Month</t>
  </si>
  <si>
    <t xml:space="preserve">Net (receipt − payment)</t>
  </si>
  <si>
    <t xml:space="preserve">Running balance</t>
  </si>
  <si>
    <t xml:space="preserve">RC-001</t>
  </si>
  <si>
    <t xml:space="preserve">Website build - client A, 1st instalment</t>
  </si>
  <si>
    <t xml:space="preserve">RC-S01</t>
  </si>
  <si>
    <t xml:space="preserve">Monthly IT support - client B (January)</t>
  </si>
  <si>
    <t xml:space="preserve">PV-001</t>
  </si>
  <si>
    <t xml:space="preserve">Office rent January</t>
  </si>
  <si>
    <t xml:space="preserve">PV-002</t>
  </si>
  <si>
    <t xml:space="preserve">Laptop purchase</t>
  </si>
  <si>
    <t xml:space="preserve">PV-I01</t>
  </si>
  <si>
    <t xml:space="preserve">Internet subscription (January)</t>
  </si>
  <si>
    <t xml:space="preserve">PV-E01</t>
  </si>
  <si>
    <t xml:space="preserve">Electricity and water (January)</t>
  </si>
  <si>
    <t xml:space="preserve">PV-004</t>
  </si>
  <si>
    <t xml:space="preserve">Contractor fees January</t>
  </si>
  <si>
    <t xml:space="preserve">RC-S02</t>
  </si>
  <si>
    <t xml:space="preserve">Monthly IT support - client B (February)</t>
  </si>
  <si>
    <t xml:space="preserve">PV-005</t>
  </si>
  <si>
    <t xml:space="preserve">Office rent February</t>
  </si>
  <si>
    <t xml:space="preserve">PV-006</t>
  </si>
  <si>
    <t xml:space="preserve">Cloud and software subscriptions</t>
  </si>
  <si>
    <t xml:space="preserve">PV-I02</t>
  </si>
  <si>
    <t xml:space="preserve">Internet subscription (February)</t>
  </si>
  <si>
    <t xml:space="preserve">PV-E02</t>
  </si>
  <si>
    <t xml:space="preserve">Electricity and water (February)</t>
  </si>
  <si>
    <t xml:space="preserve">PV-007</t>
  </si>
  <si>
    <t xml:space="preserve">Contractor fees February</t>
  </si>
  <si>
    <t xml:space="preserve">RC-003</t>
  </si>
  <si>
    <t xml:space="preserve">Website build - client A, final instalment</t>
  </si>
  <si>
    <t xml:space="preserve">RC-S03</t>
  </si>
  <si>
    <t xml:space="preserve">Monthly IT support - client B (March)</t>
  </si>
  <si>
    <t xml:space="preserve">PV-008</t>
  </si>
  <si>
    <t xml:space="preserve">Office rent March</t>
  </si>
  <si>
    <t xml:space="preserve">PV-009</t>
  </si>
  <si>
    <t xml:space="preserve">Trading licence and RRA filing</t>
  </si>
  <si>
    <t xml:space="preserve">PV-I03</t>
  </si>
  <si>
    <t xml:space="preserve">Internet subscription (March)</t>
  </si>
  <si>
    <t xml:space="preserve">PV-E03</t>
  </si>
  <si>
    <t xml:space="preserve">Electricity and water (March)</t>
  </si>
  <si>
    <t xml:space="preserve">PV-010</t>
  </si>
  <si>
    <t xml:space="preserve">Contractor fees March</t>
  </si>
  <si>
    <t xml:space="preserve">RC-S04</t>
  </si>
  <si>
    <t xml:space="preserve">Monthly IT support - client B (April)</t>
  </si>
  <si>
    <t xml:space="preserve">RC-005</t>
  </si>
  <si>
    <t xml:space="preserve">Digital skills training - cohort 1</t>
  </si>
  <si>
    <t xml:space="preserve">PV-011</t>
  </si>
  <si>
    <t xml:space="preserve">Office rent April</t>
  </si>
  <si>
    <t xml:space="preserve">PV-I04</t>
  </si>
  <si>
    <t xml:space="preserve">Internet subscription (April)</t>
  </si>
  <si>
    <t xml:space="preserve">PV-E04</t>
  </si>
  <si>
    <t xml:space="preserve">Electricity and water (April)</t>
  </si>
  <si>
    <t xml:space="preserve">PV-013</t>
  </si>
  <si>
    <t xml:space="preserve">Contractor fees April</t>
  </si>
  <si>
    <t xml:space="preserve">RC-S05</t>
  </si>
  <si>
    <t xml:space="preserve">Monthly IT support - client B (May)</t>
  </si>
  <si>
    <t xml:space="preserve">PV-014</t>
  </si>
  <si>
    <t xml:space="preserve">Office rent May</t>
  </si>
  <si>
    <t xml:space="preserve">PV-015</t>
  </si>
  <si>
    <t xml:space="preserve">Social media advertising</t>
  </si>
  <si>
    <t xml:space="preserve">PV-I05</t>
  </si>
  <si>
    <t xml:space="preserve">Internet subscription (May)</t>
  </si>
  <si>
    <t xml:space="preserve">PV-E05</t>
  </si>
  <si>
    <t xml:space="preserve">Electricity and water (May)</t>
  </si>
  <si>
    <t xml:space="preserve">PV-016</t>
  </si>
  <si>
    <t xml:space="preserve">Contractor fees May</t>
  </si>
  <si>
    <t xml:space="preserve">RC-S06</t>
  </si>
  <si>
    <t xml:space="preserve">Monthly IT support - client B (June)</t>
  </si>
  <si>
    <t xml:space="preserve">RC-007</t>
  </si>
  <si>
    <t xml:space="preserve">Mobile app - client C, 1st instalment</t>
  </si>
  <si>
    <t xml:space="preserve">PV-017</t>
  </si>
  <si>
    <t xml:space="preserve">Office rent June</t>
  </si>
  <si>
    <t xml:space="preserve">PV-I06</t>
  </si>
  <si>
    <t xml:space="preserve">Internet subscription (June)</t>
  </si>
  <si>
    <t xml:space="preserve">PV-E06</t>
  </si>
  <si>
    <t xml:space="preserve">Electricity and water (June)</t>
  </si>
  <si>
    <t xml:space="preserve">PV-018</t>
  </si>
  <si>
    <t xml:space="preserve">Contractor fees June</t>
  </si>
  <si>
    <t xml:space="preserve">PV-019</t>
  </si>
  <si>
    <t xml:space="preserve">Owner drawings</t>
  </si>
  <si>
    <t xml:space="preserve">RC-S07</t>
  </si>
  <si>
    <t xml:space="preserve">Monthly IT support - client B (July)</t>
  </si>
  <si>
    <t xml:space="preserve">PV-020</t>
  </si>
  <si>
    <t xml:space="preserve">Office rent July</t>
  </si>
  <si>
    <t xml:space="preserve">PV-021</t>
  </si>
  <si>
    <t xml:space="preserve">Transport - client site visits</t>
  </si>
  <si>
    <t xml:space="preserve">PV-I07</t>
  </si>
  <si>
    <t xml:space="preserve">Internet subscription (July)</t>
  </si>
  <si>
    <t xml:space="preserve">PV-E07</t>
  </si>
  <si>
    <t xml:space="preserve">Electricity and water (July)</t>
  </si>
  <si>
    <t xml:space="preserve">PV-022</t>
  </si>
  <si>
    <t xml:space="preserve">Contractor fees July</t>
  </si>
  <si>
    <t xml:space="preserve">RC-S08</t>
  </si>
  <si>
    <t xml:space="preserve">Monthly IT support - client B (August)</t>
  </si>
  <si>
    <t xml:space="preserve">PV-023</t>
  </si>
  <si>
    <t xml:space="preserve">Office rent August</t>
  </si>
  <si>
    <t xml:space="preserve">RC-009</t>
  </si>
  <si>
    <t xml:space="preserve">Mobile app - client C, final instalment</t>
  </si>
  <si>
    <t xml:space="preserve">PV-I08</t>
  </si>
  <si>
    <t xml:space="preserve">Internet subscription (August)</t>
  </si>
  <si>
    <t xml:space="preserve">PV-E08</t>
  </si>
  <si>
    <t xml:space="preserve">Electricity and water (August)</t>
  </si>
  <si>
    <t xml:space="preserve">PV-024</t>
  </si>
  <si>
    <t xml:space="preserve">Contractor fees August</t>
  </si>
  <si>
    <t xml:space="preserve">RC-S09</t>
  </si>
  <si>
    <t xml:space="preserve">Monthly IT support - client B (September)</t>
  </si>
  <si>
    <t xml:space="preserve">RC-010</t>
  </si>
  <si>
    <t xml:space="preserve">Digital skills training - cohort 2</t>
  </si>
  <si>
    <t xml:space="preserve">PV-025</t>
  </si>
  <si>
    <t xml:space="preserve">Office rent September</t>
  </si>
  <si>
    <t xml:space="preserve">PV-I09</t>
  </si>
  <si>
    <t xml:space="preserve">Internet subscription (September)</t>
  </si>
  <si>
    <t xml:space="preserve">PV-E09</t>
  </si>
  <si>
    <t xml:space="preserve">Electricity and water (September)</t>
  </si>
  <si>
    <t xml:space="preserve">PV-026</t>
  </si>
  <si>
    <t xml:space="preserve">Contractor fees September</t>
  </si>
  <si>
    <t xml:space="preserve">RC-S10</t>
  </si>
  <si>
    <t xml:space="preserve">Monthly IT support - client B (October)</t>
  </si>
  <si>
    <t xml:space="preserve">PV-027</t>
  </si>
  <si>
    <t xml:space="preserve">Office rent October</t>
  </si>
  <si>
    <t xml:space="preserve">RC-015</t>
  </si>
  <si>
    <t xml:space="preserve">Website build - client D</t>
  </si>
  <si>
    <t xml:space="preserve">PV-028</t>
  </si>
  <si>
    <t xml:space="preserve">Printer and accessories</t>
  </si>
  <si>
    <t xml:space="preserve">PV-I10</t>
  </si>
  <si>
    <t xml:space="preserve">Internet subscription (October)</t>
  </si>
  <si>
    <t xml:space="preserve">PV-E10</t>
  </si>
  <si>
    <t xml:space="preserve">Electricity and water (October)</t>
  </si>
  <si>
    <t xml:space="preserve">PV-029</t>
  </si>
  <si>
    <t xml:space="preserve">Contractor fees October</t>
  </si>
  <si>
    <t xml:space="preserve">RC-S11</t>
  </si>
  <si>
    <t xml:space="preserve">Monthly IT support - client B (November)</t>
  </si>
  <si>
    <t xml:space="preserve">PV-030</t>
  </si>
  <si>
    <t xml:space="preserve">Office rent November</t>
  </si>
  <si>
    <t xml:space="preserve">RC-012</t>
  </si>
  <si>
    <t xml:space="preserve">Website maintenance - client A</t>
  </si>
  <si>
    <t xml:space="preserve">PV-I11</t>
  </si>
  <si>
    <t xml:space="preserve">Internet subscription (November)</t>
  </si>
  <si>
    <t xml:space="preserve">PV-E11</t>
  </si>
  <si>
    <t xml:space="preserve">Electricity and water (November)</t>
  </si>
  <si>
    <t xml:space="preserve">PV-031</t>
  </si>
  <si>
    <t xml:space="preserve">Contractor fees November</t>
  </si>
  <si>
    <t xml:space="preserve">RC-013</t>
  </si>
  <si>
    <t xml:space="preserve">Owner capital introduced</t>
  </si>
  <si>
    <t xml:space="preserve">RC-S12</t>
  </si>
  <si>
    <t xml:space="preserve">Monthly IT support - client B (December)</t>
  </si>
  <si>
    <t xml:space="preserve">PV-032</t>
  </si>
  <si>
    <t xml:space="preserve">Office rent December</t>
  </si>
  <si>
    <t xml:space="preserve">RC-016</t>
  </si>
  <si>
    <t xml:space="preserve">Digital skills training - cohort 3</t>
  </si>
  <si>
    <t xml:space="preserve">PV-I12</t>
  </si>
  <si>
    <t xml:space="preserve">Internet subscription (December)</t>
  </si>
  <si>
    <t xml:space="preserve">PV-E12</t>
  </si>
  <si>
    <t xml:space="preserve">Electricity and water (December)</t>
  </si>
  <si>
    <t xml:space="preserve">BS-001</t>
  </si>
  <si>
    <t xml:space="preserve">Bank charges for the year (per statement)</t>
  </si>
  <si>
    <t xml:space="preserve">PV-033</t>
  </si>
  <si>
    <t xml:space="preserve">Contractor fees December</t>
  </si>
  <si>
    <t xml:space="preserve">Totals</t>
  </si>
  <si>
    <t xml:space="preserve">Closing cash book balance</t>
  </si>
  <si>
    <t xml:space="preserve">Annual budget by account, phased monthly</t>
  </si>
  <si>
    <t xml:space="preserve">Account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</si>
  <si>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</si>
  <si>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</si>
  <si>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</si>
  <si>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</si>
  <si>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</si>
  <si>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</si>
  <si>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</si>
  <si>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</si>
  <si>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</si>
  <si>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</si>
  <si>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</si>
  <si>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</si>
  <si>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Annual</t>
  </si>
  <si>
    <t xml:space="preserve">Budget figures are fictional assumptions entered by the author.</t>
  </si>
  <si>
    <t xml:space="preserve">Budget vs actual — year to date</t>
  </si>
  <si>
    <t xml:space="preserve">Budget YTD</t>
  </si>
  <si>
    <t xml:space="preserve">Actual YTD</t>
  </si>
  <si>
    <t xml:space="preserve">Variance</t>
  </si>
  <si>
    <t xml:space="preserve">Variance %</t>
  </si>
  <si>
    <t xml:space="preserve">Comment needed?</t>
  </si>
  <si>
    <t xml:space="preserve">Total income</t>
  </si>
  <si>
    <t xml:space="preserve">Total expenses</t>
  </si>
  <si>
    <t xml:space="preserve">Net surplus / (deficit)</t>
  </si>
  <si>
    <t xml:space="preserve">Favourable variances are positive: income above budget, or expenses below budget.</t>
  </si>
  <si>
    <t xml:space="preserve">RWF · prepared from the cash book (cash basis)</t>
  </si>
  <si>
    <t xml:space="preserve">Revenue from services</t>
  </si>
  <si>
    <t xml:space="preserve">Expenses</t>
  </si>
  <si>
    <t xml:space="preserve">Net surplus / (deficit) for the year</t>
  </si>
  <si>
    <t xml:space="preserve">RWF</t>
  </si>
  <si>
    <t xml:space="preserve">Assets</t>
  </si>
  <si>
    <t xml:space="preserve">Cash at bank</t>
  </si>
  <si>
    <t xml:space="preserve">Total assets</t>
  </si>
  <si>
    <t xml:space="preserve">Owner's equity</t>
  </si>
  <si>
    <t xml:space="preserve">Opening owner's capital</t>
  </si>
  <si>
    <t xml:space="preserve">Capital introduced in the year</t>
  </si>
  <si>
    <t xml:space="preserve">Surplus / (deficit) for the year</t>
  </si>
  <si>
    <t xml:space="preserve">Less: owner's drawings</t>
  </si>
  <si>
    <t xml:space="preserve">Total owner's equity</t>
  </si>
  <si>
    <t xml:space="preserve">Difference (must be zero)</t>
  </si>
  <si>
    <t xml:space="preserve">Simplified balance sheet: no receivables, payables or depreciation, as the business records transactions when cash moves.</t>
  </si>
  <si>
    <t xml:space="preserve">Net cash from operating activities</t>
  </si>
  <si>
    <t xml:space="preserve">Net cash used in investing activities</t>
  </si>
  <si>
    <t xml:space="preserve">Net cash from financing activities</t>
  </si>
  <si>
    <t xml:space="preserve">Net change in cash</t>
  </si>
  <si>
    <t xml:space="preserve">Cash at 1 January</t>
  </si>
  <si>
    <t xml:space="preserve">Cash at 31 December</t>
  </si>
  <si>
    <t xml:space="preserve">Bank reconciliation at 31 December</t>
  </si>
  <si>
    <t xml:space="preserve">Balance per cash book</t>
  </si>
  <si>
    <t xml:space="preserve">Balance per bank statement</t>
  </si>
  <si>
    <t xml:space="preserve">Add: receipts recorded, not yet credited by bank</t>
  </si>
  <si>
    <t xml:space="preserve">Less: payments recorded, not yet cleared (PV-033)</t>
  </si>
  <si>
    <t xml:space="preserve">Adjusted bank balance</t>
  </si>
  <si>
    <t xml:space="preserve">Status</t>
  </si>
  <si>
    <t xml:space="preserve">Checks</t>
  </si>
  <si>
    <t xml:space="preserve">#</t>
  </si>
  <si>
    <t xml:space="preserve">Check</t>
  </si>
  <si>
    <t xml:space="preserve">Result</t>
  </si>
  <si>
    <t xml:space="preserve">Balance sheet balances (assets = equity)</t>
  </si>
  <si>
    <t xml:space="preserve">Every cash book line has a valid account code</t>
  </si>
  <si>
    <t xml:space="preserve">Cash flow closing cash = cash book closing balance</t>
  </si>
  <si>
    <t xml:space="preserve">Budget vs actual net surplus (full year) = income statement surplus</t>
  </si>
  <si>
    <t xml:space="preserve">Bank reconciliation agrees</t>
  </si>
  <si>
    <t xml:space="preserve">Overall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</si>
</sst>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;\(#,##0\);\-"/>
    <numFmt numFmtId="166" formatCode="0.0%;\(0.0%\);\-"/>
    <numFmt numFmtId="167" formatCode="dd\-mmm\-yy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name val="Arial"/>
      <family val="0"/>
      <charset val="1"/>
    </font>
    <font>
      <sz val="10"/>
      <color rgb="FF008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D9D9D9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999999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 t="s">
        <v>12</v>
      </c>
    </row>
    <row r="16" customFormat="false" ht="15" hidden="false" customHeight="false" outlineLevel="0" collapsed="false">
      <c r="A16" s="2" t="s">
        <v>13</v>
      </c>
    </row>
    <row r="17" customFormat="false" ht="15" hidden="false" customHeight="false" outlineLevel="0" collapsed="false">
      <c r="A17" s="2"/>
    </row>
    <row r="18" customFormat="false" ht="15" hidden="false" customHeight="false" outlineLevel="0" collapsed="false">
      <c r="A18" s="3" t="s">
        <v>14</v>
      </c>
    </row>
    <row r="19" customFormat="false" ht="15" hidden="false" customHeight="false" outlineLevel="0" collapsed="false">
      <c r="A19" s="2" t="s">
        <v>15</v>
      </c>
    </row>
    <row r="20" customFormat="false" ht="15" hidden="false" customHeight="false" outlineLevel="0" collapsed="false">
      <c r="A20" s="2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30"/>
  </cols>
  <sheetData>
    <row r="1" customFormat="false" ht="16.15" hidden="false" customHeight="false" outlineLevel="0" collapsed="false">
      <c r="A1" s="1" t="s">
        <v>17</v>
      </c>
    </row>
    <row r="3" customFormat="false" ht="15" hidden="false" customHeight="false" outlineLevel="0" collapsed="false">
      <c r="A3" s="3" t="s">
        <v>18</v>
      </c>
      <c r="B3" s="4" t="s">
        <v>19</v>
      </c>
    </row>
    <row r="4" customFormat="false" ht="15" hidden="false" customHeight="false" outlineLevel="0" collapsed="false">
      <c r="A4" s="3" t="s">
        <v>20</v>
      </c>
      <c r="B4" s="4" t="n">
        <v>2025</v>
      </c>
    </row>
    <row r="5" customFormat="false" ht="15" hidden="false" customHeight="false" outlineLevel="0" collapsed="false">
      <c r="A5" s="3" t="s">
        <v>21</v>
      </c>
      <c r="B5" s="4" t="n">
        <v>12</v>
      </c>
    </row>
    <row r="6" customFormat="false" ht="15" hidden="false" customHeight="false" outlineLevel="0" collapsed="false">
      <c r="A6" s="3" t="s">
        <v>22</v>
      </c>
      <c r="B6" s="5" t="n">
        <v>1500000</v>
      </c>
    </row>
    <row r="7" customFormat="false" ht="15" hidden="false" customHeight="false" outlineLevel="0" collapsed="false">
      <c r="A7" s="3" t="s">
        <v>23</v>
      </c>
      <c r="B7" s="5" t="n">
        <v>0</v>
      </c>
    </row>
    <row r="8" customFormat="false" ht="15" hidden="false" customHeight="false" outlineLevel="0" collapsed="false">
      <c r="A8" s="3" t="s">
        <v>24</v>
      </c>
      <c r="B8" s="5" t="n">
        <v>1500000</v>
      </c>
    </row>
    <row r="9" customFormat="false" ht="15" hidden="false" customHeight="false" outlineLevel="0" collapsed="false">
      <c r="A9" s="3" t="s">
        <v>25</v>
      </c>
      <c r="B9" s="6" t="n">
        <v>0.1</v>
      </c>
    </row>
    <row r="11" customFormat="false" ht="15" hidden="false" customHeight="false" outlineLevel="0" collapsed="false">
      <c r="A11" s="7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11"/>
    <col collapsed="false" customWidth="true" hidden="false" outlineLevel="0" max="4" min="4" style="0" width="30"/>
    <col collapsed="false" customWidth="true" hidden="false" outlineLevel="0" max="5" min="5" style="0" width="14"/>
  </cols>
  <sheetData>
    <row r="1" customFormat="false" ht="16.15" hidden="false" customHeight="false" outlineLevel="0" collapsed="false">
      <c r="A1" s="1" t="s">
        <v>27</v>
      </c>
    </row>
    <row r="3" customFormat="false" ht="23.85" hidden="false" customHeight="false" outlineLevel="0" collapsed="false">
      <c r="A3" s="8" t="s">
        <v>28</v>
      </c>
      <c r="B3" s="8" t="s">
        <v>29</v>
      </c>
      <c r="C3" s="8" t="s">
        <v>30</v>
      </c>
      <c r="D3" s="8" t="s">
        <v>31</v>
      </c>
      <c r="E3" s="8" t="s">
        <v>32</v>
      </c>
    </row>
    <row r="4" customFormat="false" ht="15" hidden="false" customHeight="false" outlineLevel="0" collapsed="false">
      <c r="A4" s="9" t="n">
        <v>1500</v>
      </c>
      <c r="B4" s="9" t="s">
        <v>33</v>
      </c>
      <c r="C4" s="9" t="s">
        <v>34</v>
      </c>
      <c r="D4" s="9" t="s">
        <v>35</v>
      </c>
      <c r="E4" s="9" t="s">
        <v>36</v>
      </c>
    </row>
    <row r="5" customFormat="false" ht="15" hidden="false" customHeight="false" outlineLevel="0" collapsed="false">
      <c r="A5" s="9" t="n">
        <v>3000</v>
      </c>
      <c r="B5" s="9" t="s">
        <v>37</v>
      </c>
      <c r="C5" s="9" t="s">
        <v>38</v>
      </c>
      <c r="D5" s="9" t="s">
        <v>39</v>
      </c>
      <c r="E5" s="9" t="s">
        <v>40</v>
      </c>
    </row>
    <row r="6" customFormat="false" ht="15" hidden="false" customHeight="false" outlineLevel="0" collapsed="false">
      <c r="A6" s="9" t="n">
        <v>3100</v>
      </c>
      <c r="B6" s="9" t="s">
        <v>41</v>
      </c>
      <c r="C6" s="9" t="s">
        <v>38</v>
      </c>
      <c r="D6" s="9" t="s">
        <v>41</v>
      </c>
      <c r="E6" s="9" t="s">
        <v>40</v>
      </c>
    </row>
    <row r="7" customFormat="false" ht="15" hidden="false" customHeight="false" outlineLevel="0" collapsed="false">
      <c r="A7" s="9" t="n">
        <v>4000</v>
      </c>
      <c r="B7" s="9" t="s">
        <v>42</v>
      </c>
      <c r="C7" s="9" t="s">
        <v>43</v>
      </c>
      <c r="D7" s="9" t="s">
        <v>44</v>
      </c>
      <c r="E7" s="9" t="s">
        <v>45</v>
      </c>
    </row>
    <row r="8" customFormat="false" ht="15" hidden="false" customHeight="false" outlineLevel="0" collapsed="false">
      <c r="A8" s="9" t="n">
        <v>4100</v>
      </c>
      <c r="B8" s="9" t="s">
        <v>46</v>
      </c>
      <c r="C8" s="9" t="s">
        <v>43</v>
      </c>
      <c r="D8" s="9" t="s">
        <v>44</v>
      </c>
      <c r="E8" s="9" t="s">
        <v>45</v>
      </c>
    </row>
    <row r="9" customFormat="false" ht="15" hidden="false" customHeight="false" outlineLevel="0" collapsed="false">
      <c r="A9" s="9" t="n">
        <v>4200</v>
      </c>
      <c r="B9" s="9" t="s">
        <v>47</v>
      </c>
      <c r="C9" s="9" t="s">
        <v>43</v>
      </c>
      <c r="D9" s="9" t="s">
        <v>44</v>
      </c>
      <c r="E9" s="9" t="s">
        <v>45</v>
      </c>
    </row>
    <row r="10" customFormat="false" ht="15" hidden="false" customHeight="false" outlineLevel="0" collapsed="false">
      <c r="A10" s="9" t="n">
        <v>5000</v>
      </c>
      <c r="B10" s="9" t="s">
        <v>48</v>
      </c>
      <c r="C10" s="9" t="s">
        <v>49</v>
      </c>
      <c r="D10" s="9" t="s">
        <v>50</v>
      </c>
      <c r="E10" s="9" t="s">
        <v>45</v>
      </c>
    </row>
    <row r="11" customFormat="false" ht="15" hidden="false" customHeight="false" outlineLevel="0" collapsed="false">
      <c r="A11" s="9" t="n">
        <v>5100</v>
      </c>
      <c r="B11" s="9" t="s">
        <v>51</v>
      </c>
      <c r="C11" s="9" t="s">
        <v>49</v>
      </c>
      <c r="D11" s="9" t="s">
        <v>52</v>
      </c>
      <c r="E11" s="9" t="s">
        <v>45</v>
      </c>
    </row>
    <row r="12" customFormat="false" ht="15" hidden="false" customHeight="false" outlineLevel="0" collapsed="false">
      <c r="A12" s="9" t="n">
        <v>5200</v>
      </c>
      <c r="B12" s="9" t="s">
        <v>53</v>
      </c>
      <c r="C12" s="9" t="s">
        <v>49</v>
      </c>
      <c r="D12" s="9" t="s">
        <v>54</v>
      </c>
      <c r="E12" s="9" t="s">
        <v>45</v>
      </c>
    </row>
    <row r="13" customFormat="false" ht="15" hidden="false" customHeight="false" outlineLevel="0" collapsed="false">
      <c r="A13" s="9" t="n">
        <v>5300</v>
      </c>
      <c r="B13" s="9" t="s">
        <v>55</v>
      </c>
      <c r="C13" s="9" t="s">
        <v>49</v>
      </c>
      <c r="D13" s="9" t="s">
        <v>52</v>
      </c>
      <c r="E13" s="9" t="s">
        <v>45</v>
      </c>
    </row>
    <row r="14" customFormat="false" ht="15" hidden="false" customHeight="false" outlineLevel="0" collapsed="false">
      <c r="A14" s="9" t="n">
        <v>5400</v>
      </c>
      <c r="B14" s="9" t="s">
        <v>56</v>
      </c>
      <c r="C14" s="9" t="s">
        <v>49</v>
      </c>
      <c r="D14" s="9" t="s">
        <v>54</v>
      </c>
      <c r="E14" s="9" t="s">
        <v>45</v>
      </c>
    </row>
    <row r="15" customFormat="false" ht="15" hidden="false" customHeight="false" outlineLevel="0" collapsed="false">
      <c r="A15" s="9" t="n">
        <v>5500</v>
      </c>
      <c r="B15" s="9" t="s">
        <v>57</v>
      </c>
      <c r="C15" s="9" t="s">
        <v>49</v>
      </c>
      <c r="D15" s="9" t="s">
        <v>54</v>
      </c>
      <c r="E15" s="9" t="s">
        <v>45</v>
      </c>
    </row>
    <row r="16" customFormat="false" ht="15" hidden="false" customHeight="false" outlineLevel="0" collapsed="false">
      <c r="A16" s="9" t="n">
        <v>5600</v>
      </c>
      <c r="B16" s="9" t="s">
        <v>58</v>
      </c>
      <c r="C16" s="9" t="s">
        <v>49</v>
      </c>
      <c r="D16" s="9" t="s">
        <v>59</v>
      </c>
      <c r="E16" s="9" t="s">
        <v>45</v>
      </c>
    </row>
    <row r="17" customFormat="false" ht="15" hidden="false" customHeight="false" outlineLevel="0" collapsed="false">
      <c r="A17" s="9" t="n">
        <v>5700</v>
      </c>
      <c r="B17" s="9" t="s">
        <v>60</v>
      </c>
      <c r="C17" s="9" t="s">
        <v>49</v>
      </c>
      <c r="D17" s="9" t="s">
        <v>54</v>
      </c>
      <c r="E17" s="9" t="s">
        <v>45</v>
      </c>
    </row>
    <row r="18" customFormat="false" ht="15" hidden="false" customHeight="false" outlineLevel="0" collapsed="false">
      <c r="A18" s="9" t="n">
        <v>5800</v>
      </c>
      <c r="B18" s="9" t="s">
        <v>61</v>
      </c>
      <c r="C18" s="9" t="s">
        <v>49</v>
      </c>
      <c r="D18" s="9" t="s">
        <v>62</v>
      </c>
      <c r="E18" s="9" t="s">
        <v>45</v>
      </c>
    </row>
    <row r="20" customFormat="false" ht="15" hidden="false" customHeight="false" outlineLevel="0" collapsed="false">
      <c r="A20" s="7" t="s">
        <v>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40"/>
    <col collapsed="false" customWidth="true" hidden="false" outlineLevel="0" max="4" min="4" style="0" width="10"/>
    <col collapsed="false" customWidth="true" hidden="false" outlineLevel="0" max="6" min="5" style="0" width="13"/>
    <col collapsed="false" customWidth="true" hidden="false" outlineLevel="0" max="7" min="7" style="0" width="30"/>
    <col collapsed="false" customWidth="true" hidden="false" outlineLevel="0" max="8" min="8" style="0" width="9"/>
    <col collapsed="false" customWidth="true" hidden="false" outlineLevel="0" max="9" min="9" style="0" width="7"/>
    <col collapsed="false" customWidth="true" hidden="false" outlineLevel="0" max="11" min="10" style="0" width="15"/>
  </cols>
  <sheetData>
    <row r="1" customFormat="false" ht="16.15" hidden="false" customHeight="false" outlineLevel="0" collapsed="false">
      <c r="A1" s="1" t="s">
        <v>64</v>
      </c>
    </row>
    <row r="2" customFormat="false" ht="15" hidden="false" customHeight="false" outlineLevel="0" collapsed="false">
      <c r="A2" s="7" t="s">
        <v>65</v>
      </c>
    </row>
    <row r="4" customFormat="false" ht="23.85" hidden="false" customHeight="false" outlineLevel="0" collapsed="false">
      <c r="A4" s="8" t="s">
        <v>66</v>
      </c>
      <c r="B4" s="8" t="s">
        <v>67</v>
      </c>
      <c r="C4" s="8" t="s">
        <v>68</v>
      </c>
      <c r="D4" s="8" t="s">
        <v>69</v>
      </c>
      <c r="E4" s="8" t="s">
        <v>70</v>
      </c>
      <c r="F4" s="8" t="s">
        <v>71</v>
      </c>
      <c r="G4" s="8" t="s">
        <v>29</v>
      </c>
      <c r="H4" s="8" t="s">
        <v>30</v>
      </c>
      <c r="I4" s="8" t="s">
        <v>72</v>
      </c>
      <c r="J4" s="8" t="s">
        <v>73</v>
      </c>
      <c r="K4" s="8" t="s">
        <v>74</v>
      </c>
    </row>
    <row r="5" customFormat="false" ht="15" hidden="false" customHeight="false" outlineLevel="0" collapsed="false">
      <c r="A5" s="10" t="n">
        <v>45663</v>
      </c>
      <c r="B5" s="4" t="s">
        <v>75</v>
      </c>
      <c r="C5" s="4" t="s">
        <v>76</v>
      </c>
      <c r="D5" s="4" t="n">
        <v>4000</v>
      </c>
      <c r="E5" s="5" t="n">
        <v>1800000</v>
      </c>
      <c r="F5" s="5" t="n">
        <v>0</v>
      </c>
      <c r="G5" s="11" t="str">
        <f aca="false">IFERROR(INDEX(Chart_of_Accounts!$B$4:$B$18,MATCH(D5,Chart_of_Accounts!$A$4:$A$18,0)),"INVALID CODE")</f>
        <v>Software development services</v>
      </c>
      <c r="H5" s="11" t="str">
        <f aca="false">IFERROR(INDEX(Chart_of_Accounts!$C$4:$C$18,MATCH(D5,Chart_of_Accounts!$A$4:$A$18,0)),"")</f>
        <v>Income</v>
      </c>
      <c r="I5" s="2" t="n">
        <f aca="false">MONTH(A5)</f>
        <v>1</v>
      </c>
      <c r="J5" s="12" t="n">
        <f aca="false">E5-F5</f>
        <v>1800000</v>
      </c>
      <c r="K5" s="12" t="n">
        <f aca="false">Settings!$B$6+J5</f>
        <v>3300000</v>
      </c>
    </row>
    <row r="6" customFormat="false" ht="15" hidden="false" customHeight="false" outlineLevel="0" collapsed="false">
      <c r="A6" s="10" t="n">
        <v>45664</v>
      </c>
      <c r="B6" s="4" t="s">
        <v>77</v>
      </c>
      <c r="C6" s="4" t="s">
        <v>78</v>
      </c>
      <c r="D6" s="4" t="n">
        <v>4100</v>
      </c>
      <c r="E6" s="5" t="n">
        <v>450000</v>
      </c>
      <c r="F6" s="5" t="n">
        <v>0</v>
      </c>
      <c r="G6" s="11" t="str">
        <f aca="false">IFERROR(INDEX(Chart_of_Accounts!$B$4:$B$18,MATCH(D6,Chart_of_Accounts!$A$4:$A$18,0)),"INVALID CODE")</f>
        <v>IT support and maintenance</v>
      </c>
      <c r="H6" s="11" t="str">
        <f aca="false">IFERROR(INDEX(Chart_of_Accounts!$C$4:$C$18,MATCH(D6,Chart_of_Accounts!$A$4:$A$18,0)),"")</f>
        <v>Income</v>
      </c>
      <c r="I6" s="2" t="n">
        <f aca="false">MONTH(A6)</f>
        <v>1</v>
      </c>
      <c r="J6" s="12" t="n">
        <f aca="false">E6-F6</f>
        <v>450000</v>
      </c>
      <c r="K6" s="12" t="n">
        <f aca="false">K5+J6</f>
        <v>3750000</v>
      </c>
    </row>
    <row r="7" customFormat="false" ht="15" hidden="false" customHeight="false" outlineLevel="0" collapsed="false">
      <c r="A7" s="10" t="n">
        <v>45667</v>
      </c>
      <c r="B7" s="4" t="s">
        <v>79</v>
      </c>
      <c r="C7" s="4" t="s">
        <v>80</v>
      </c>
      <c r="D7" s="4" t="n">
        <v>5100</v>
      </c>
      <c r="E7" s="5" t="n">
        <v>0</v>
      </c>
      <c r="F7" s="5" t="n">
        <v>350000</v>
      </c>
      <c r="G7" s="11" t="str">
        <f aca="false">IFERROR(INDEX(Chart_of_Accounts!$B$4:$B$18,MATCH(D7,Chart_of_Accounts!$A$4:$A$18,0)),"INVALID CODE")</f>
        <v>Office rent</v>
      </c>
      <c r="H7" s="11" t="str">
        <f aca="false">IFERROR(INDEX(Chart_of_Accounts!$C$4:$C$18,MATCH(D7,Chart_of_Accounts!$A$4:$A$18,0)),"")</f>
        <v>Expense</v>
      </c>
      <c r="I7" s="2" t="n">
        <f aca="false">MONTH(A7)</f>
        <v>1</v>
      </c>
      <c r="J7" s="12" t="n">
        <f aca="false">E7-F7</f>
        <v>-350000</v>
      </c>
      <c r="K7" s="12" t="n">
        <f aca="false">K6+J7</f>
        <v>3400000</v>
      </c>
    </row>
    <row r="8" customFormat="false" ht="15" hidden="false" customHeight="false" outlineLevel="0" collapsed="false">
      <c r="A8" s="10" t="n">
        <v>45672</v>
      </c>
      <c r="B8" s="4" t="s">
        <v>81</v>
      </c>
      <c r="C8" s="4" t="s">
        <v>82</v>
      </c>
      <c r="D8" s="4" t="n">
        <v>1500</v>
      </c>
      <c r="E8" s="5" t="n">
        <v>0</v>
      </c>
      <c r="F8" s="5" t="n">
        <v>950000</v>
      </c>
      <c r="G8" s="11" t="str">
        <f aca="false">IFERROR(INDEX(Chart_of_Accounts!$B$4:$B$18,MATCH(D8,Chart_of_Accounts!$A$4:$A$18,0)),"INVALID CODE")</f>
        <v>Office and IT equipment</v>
      </c>
      <c r="H8" s="11" t="str">
        <f aca="false">IFERROR(INDEX(Chart_of_Accounts!$C$4:$C$18,MATCH(D8,Chart_of_Accounts!$A$4:$A$18,0)),"")</f>
        <v>Asset</v>
      </c>
      <c r="I8" s="2" t="n">
        <f aca="false">MONTH(A8)</f>
        <v>1</v>
      </c>
      <c r="J8" s="12" t="n">
        <f aca="false">E8-F8</f>
        <v>-950000</v>
      </c>
      <c r="K8" s="12" t="n">
        <f aca="false">K7+J8</f>
        <v>2450000</v>
      </c>
    </row>
    <row r="9" customFormat="false" ht="15" hidden="false" customHeight="false" outlineLevel="0" collapsed="false">
      <c r="A9" s="10" t="n">
        <v>45682</v>
      </c>
      <c r="B9" s="4" t="s">
        <v>83</v>
      </c>
      <c r="C9" s="4" t="s">
        <v>84</v>
      </c>
      <c r="D9" s="4" t="n">
        <v>5200</v>
      </c>
      <c r="E9" s="5" t="n">
        <v>0</v>
      </c>
      <c r="F9" s="5" t="n">
        <v>60000</v>
      </c>
      <c r="G9" s="11" t="str">
        <f aca="false">IFERROR(INDEX(Chart_of_Accounts!$B$4:$B$18,MATCH(D9,Chart_of_Accounts!$A$4:$A$18,0)),"INVALID CODE")</f>
        <v>Internet and communication</v>
      </c>
      <c r="H9" s="11" t="str">
        <f aca="false">IFERROR(INDEX(Chart_of_Accounts!$C$4:$C$18,MATCH(D9,Chart_of_Accounts!$A$4:$A$18,0)),"")</f>
        <v>Expense</v>
      </c>
      <c r="I9" s="2" t="n">
        <f aca="false">MONTH(A9)</f>
        <v>1</v>
      </c>
      <c r="J9" s="12" t="n">
        <f aca="false">E9-F9</f>
        <v>-60000</v>
      </c>
      <c r="K9" s="12" t="n">
        <f aca="false">K8+J9</f>
        <v>2390000</v>
      </c>
    </row>
    <row r="10" customFormat="false" ht="15" hidden="false" customHeight="false" outlineLevel="0" collapsed="false">
      <c r="A10" s="10" t="n">
        <v>45683</v>
      </c>
      <c r="B10" s="4" t="s">
        <v>85</v>
      </c>
      <c r="C10" s="4" t="s">
        <v>86</v>
      </c>
      <c r="D10" s="4" t="n">
        <v>5300</v>
      </c>
      <c r="E10" s="5" t="n">
        <v>0</v>
      </c>
      <c r="F10" s="5" t="n">
        <v>85000</v>
      </c>
      <c r="G10" s="11" t="str">
        <f aca="false">IFERROR(INDEX(Chart_of_Accounts!$B$4:$B$18,MATCH(D10,Chart_of_Accounts!$A$4:$A$18,0)),"INVALID CODE")</f>
        <v>Electricity and water</v>
      </c>
      <c r="H10" s="11" t="str">
        <f aca="false">IFERROR(INDEX(Chart_of_Accounts!$C$4:$C$18,MATCH(D10,Chart_of_Accounts!$A$4:$A$18,0)),"")</f>
        <v>Expense</v>
      </c>
      <c r="I10" s="2" t="n">
        <f aca="false">MONTH(A10)</f>
        <v>1</v>
      </c>
      <c r="J10" s="12" t="n">
        <f aca="false">E10-F10</f>
        <v>-85000</v>
      </c>
      <c r="K10" s="12" t="n">
        <f aca="false">K9+J10</f>
        <v>2305000</v>
      </c>
    </row>
    <row r="11" customFormat="false" ht="15" hidden="false" customHeight="false" outlineLevel="0" collapsed="false">
      <c r="A11" s="10" t="n">
        <v>45688</v>
      </c>
      <c r="B11" s="4" t="s">
        <v>87</v>
      </c>
      <c r="C11" s="4" t="s">
        <v>88</v>
      </c>
      <c r="D11" s="4" t="n">
        <v>5000</v>
      </c>
      <c r="E11" s="5" t="n">
        <v>0</v>
      </c>
      <c r="F11" s="5" t="n">
        <v>700000</v>
      </c>
      <c r="G11" s="11" t="str">
        <f aca="false">IFERROR(INDEX(Chart_of_Accounts!$B$4:$B$18,MATCH(D11,Chart_of_Accounts!$A$4:$A$18,0)),"INVALID CODE")</f>
        <v>Contractor and staff costs</v>
      </c>
      <c r="H11" s="11" t="str">
        <f aca="false">IFERROR(INDEX(Chart_of_Accounts!$C$4:$C$18,MATCH(D11,Chart_of_Accounts!$A$4:$A$18,0)),"")</f>
        <v>Expense</v>
      </c>
      <c r="I11" s="2" t="n">
        <f aca="false">MONTH(A11)</f>
        <v>1</v>
      </c>
      <c r="J11" s="12" t="n">
        <f aca="false">E11-F11</f>
        <v>-700000</v>
      </c>
      <c r="K11" s="12" t="n">
        <f aca="false">K10+J11</f>
        <v>1605000</v>
      </c>
    </row>
    <row r="12" customFormat="false" ht="15" hidden="false" customHeight="false" outlineLevel="0" collapsed="false">
      <c r="A12" s="10" t="n">
        <v>45695</v>
      </c>
      <c r="B12" s="4" t="s">
        <v>89</v>
      </c>
      <c r="C12" s="4" t="s">
        <v>90</v>
      </c>
      <c r="D12" s="4" t="n">
        <v>4100</v>
      </c>
      <c r="E12" s="5" t="n">
        <v>450000</v>
      </c>
      <c r="F12" s="5" t="n">
        <v>0</v>
      </c>
      <c r="G12" s="11" t="str">
        <f aca="false">IFERROR(INDEX(Chart_of_Accounts!$B$4:$B$18,MATCH(D12,Chart_of_Accounts!$A$4:$A$18,0)),"INVALID CODE")</f>
        <v>IT support and maintenance</v>
      </c>
      <c r="H12" s="11" t="str">
        <f aca="false">IFERROR(INDEX(Chart_of_Accounts!$C$4:$C$18,MATCH(D12,Chart_of_Accounts!$A$4:$A$18,0)),"")</f>
        <v>Income</v>
      </c>
      <c r="I12" s="2" t="n">
        <f aca="false">MONTH(A12)</f>
        <v>2</v>
      </c>
      <c r="J12" s="12" t="n">
        <f aca="false">E12-F12</f>
        <v>450000</v>
      </c>
      <c r="K12" s="12" t="n">
        <f aca="false">K11+J12</f>
        <v>2055000</v>
      </c>
    </row>
    <row r="13" customFormat="false" ht="15" hidden="false" customHeight="false" outlineLevel="0" collapsed="false">
      <c r="A13" s="10" t="n">
        <v>45698</v>
      </c>
      <c r="B13" s="4" t="s">
        <v>91</v>
      </c>
      <c r="C13" s="4" t="s">
        <v>92</v>
      </c>
      <c r="D13" s="4" t="n">
        <v>5100</v>
      </c>
      <c r="E13" s="5" t="n">
        <v>0</v>
      </c>
      <c r="F13" s="5" t="n">
        <v>350000</v>
      </c>
      <c r="G13" s="11" t="str">
        <f aca="false">IFERROR(INDEX(Chart_of_Accounts!$B$4:$B$18,MATCH(D13,Chart_of_Accounts!$A$4:$A$18,0)),"INVALID CODE")</f>
        <v>Office rent</v>
      </c>
      <c r="H13" s="11" t="str">
        <f aca="false">IFERROR(INDEX(Chart_of_Accounts!$C$4:$C$18,MATCH(D13,Chart_of_Accounts!$A$4:$A$18,0)),"")</f>
        <v>Expense</v>
      </c>
      <c r="I13" s="2" t="n">
        <f aca="false">MONTH(A13)</f>
        <v>2</v>
      </c>
      <c r="J13" s="12" t="n">
        <f aca="false">E13-F13</f>
        <v>-350000</v>
      </c>
      <c r="K13" s="12" t="n">
        <f aca="false">K12+J13</f>
        <v>1705000</v>
      </c>
    </row>
    <row r="14" customFormat="false" ht="15" hidden="false" customHeight="false" outlineLevel="0" collapsed="false">
      <c r="A14" s="10" t="n">
        <v>45708</v>
      </c>
      <c r="B14" s="4" t="s">
        <v>93</v>
      </c>
      <c r="C14" s="4" t="s">
        <v>94</v>
      </c>
      <c r="D14" s="4" t="n">
        <v>5500</v>
      </c>
      <c r="E14" s="5" t="n">
        <v>0</v>
      </c>
      <c r="F14" s="5" t="n">
        <v>120000</v>
      </c>
      <c r="G14" s="11" t="str">
        <f aca="false">IFERROR(INDEX(Chart_of_Accounts!$B$4:$B$18,MATCH(D14,Chart_of_Accounts!$A$4:$A$18,0)),"INVALID CODE")</f>
        <v>Software subscriptions</v>
      </c>
      <c r="H14" s="11" t="str">
        <f aca="false">IFERROR(INDEX(Chart_of_Accounts!$C$4:$C$18,MATCH(D14,Chart_of_Accounts!$A$4:$A$18,0)),"")</f>
        <v>Expense</v>
      </c>
      <c r="I14" s="2" t="n">
        <f aca="false">MONTH(A14)</f>
        <v>2</v>
      </c>
      <c r="J14" s="12" t="n">
        <f aca="false">E14-F14</f>
        <v>-120000</v>
      </c>
      <c r="K14" s="12" t="n">
        <f aca="false">K13+J14</f>
        <v>1585000</v>
      </c>
    </row>
    <row r="15" customFormat="false" ht="15" hidden="false" customHeight="false" outlineLevel="0" collapsed="false">
      <c r="A15" s="10" t="n">
        <v>45713</v>
      </c>
      <c r="B15" s="4" t="s">
        <v>95</v>
      </c>
      <c r="C15" s="4" t="s">
        <v>96</v>
      </c>
      <c r="D15" s="4" t="n">
        <v>5200</v>
      </c>
      <c r="E15" s="5" t="n">
        <v>0</v>
      </c>
      <c r="F15" s="5" t="n">
        <v>60000</v>
      </c>
      <c r="G15" s="11" t="str">
        <f aca="false">IFERROR(INDEX(Chart_of_Accounts!$B$4:$B$18,MATCH(D15,Chart_of_Accounts!$A$4:$A$18,0)),"INVALID CODE")</f>
        <v>Internet and communication</v>
      </c>
      <c r="H15" s="11" t="str">
        <f aca="false">IFERROR(INDEX(Chart_of_Accounts!$C$4:$C$18,MATCH(D15,Chart_of_Accounts!$A$4:$A$18,0)),"")</f>
        <v>Expense</v>
      </c>
      <c r="I15" s="2" t="n">
        <f aca="false">MONTH(A15)</f>
        <v>2</v>
      </c>
      <c r="J15" s="12" t="n">
        <f aca="false">E15-F15</f>
        <v>-60000</v>
      </c>
      <c r="K15" s="12" t="n">
        <f aca="false">K14+J15</f>
        <v>1525000</v>
      </c>
    </row>
    <row r="16" customFormat="false" ht="15" hidden="false" customHeight="false" outlineLevel="0" collapsed="false">
      <c r="A16" s="10" t="n">
        <v>45714</v>
      </c>
      <c r="B16" s="4" t="s">
        <v>97</v>
      </c>
      <c r="C16" s="4" t="s">
        <v>98</v>
      </c>
      <c r="D16" s="4" t="n">
        <v>5300</v>
      </c>
      <c r="E16" s="5" t="n">
        <v>0</v>
      </c>
      <c r="F16" s="5" t="n">
        <v>90000</v>
      </c>
      <c r="G16" s="11" t="str">
        <f aca="false">IFERROR(INDEX(Chart_of_Accounts!$B$4:$B$18,MATCH(D16,Chart_of_Accounts!$A$4:$A$18,0)),"INVALID CODE")</f>
        <v>Electricity and water</v>
      </c>
      <c r="H16" s="11" t="str">
        <f aca="false">IFERROR(INDEX(Chart_of_Accounts!$C$4:$C$18,MATCH(D16,Chart_of_Accounts!$A$4:$A$18,0)),"")</f>
        <v>Expense</v>
      </c>
      <c r="I16" s="2" t="n">
        <f aca="false">MONTH(A16)</f>
        <v>2</v>
      </c>
      <c r="J16" s="12" t="n">
        <f aca="false">E16-F16</f>
        <v>-90000</v>
      </c>
      <c r="K16" s="12" t="n">
        <f aca="false">K15+J16</f>
        <v>1435000</v>
      </c>
    </row>
    <row r="17" customFormat="false" ht="15" hidden="false" customHeight="false" outlineLevel="0" collapsed="false">
      <c r="A17" s="10" t="n">
        <v>45716</v>
      </c>
      <c r="B17" s="4" t="s">
        <v>99</v>
      </c>
      <c r="C17" s="4" t="s">
        <v>100</v>
      </c>
      <c r="D17" s="4" t="n">
        <v>5000</v>
      </c>
      <c r="E17" s="5" t="n">
        <v>0</v>
      </c>
      <c r="F17" s="5" t="n">
        <v>700000</v>
      </c>
      <c r="G17" s="11" t="str">
        <f aca="false">IFERROR(INDEX(Chart_of_Accounts!$B$4:$B$18,MATCH(D17,Chart_of_Accounts!$A$4:$A$18,0)),"INVALID CODE")</f>
        <v>Contractor and staff costs</v>
      </c>
      <c r="H17" s="11" t="str">
        <f aca="false">IFERROR(INDEX(Chart_of_Accounts!$C$4:$C$18,MATCH(D17,Chart_of_Accounts!$A$4:$A$18,0)),"")</f>
        <v>Expense</v>
      </c>
      <c r="I17" s="2" t="n">
        <f aca="false">MONTH(A17)</f>
        <v>2</v>
      </c>
      <c r="J17" s="12" t="n">
        <f aca="false">E17-F17</f>
        <v>-700000</v>
      </c>
      <c r="K17" s="12" t="n">
        <f aca="false">K16+J17</f>
        <v>735000</v>
      </c>
    </row>
    <row r="18" customFormat="false" ht="15" hidden="false" customHeight="false" outlineLevel="0" collapsed="false">
      <c r="A18" s="10" t="n">
        <v>45721</v>
      </c>
      <c r="B18" s="4" t="s">
        <v>101</v>
      </c>
      <c r="C18" s="4" t="s">
        <v>102</v>
      </c>
      <c r="D18" s="4" t="n">
        <v>4000</v>
      </c>
      <c r="E18" s="5" t="n">
        <v>1200000</v>
      </c>
      <c r="F18" s="5" t="n">
        <v>0</v>
      </c>
      <c r="G18" s="11" t="str">
        <f aca="false">IFERROR(INDEX(Chart_of_Accounts!$B$4:$B$18,MATCH(D18,Chart_of_Accounts!$A$4:$A$18,0)),"INVALID CODE")</f>
        <v>Software development services</v>
      </c>
      <c r="H18" s="11" t="str">
        <f aca="false">IFERROR(INDEX(Chart_of_Accounts!$C$4:$C$18,MATCH(D18,Chart_of_Accounts!$A$4:$A$18,0)),"")</f>
        <v>Income</v>
      </c>
      <c r="I18" s="2" t="n">
        <f aca="false">MONTH(A18)</f>
        <v>3</v>
      </c>
      <c r="J18" s="12" t="n">
        <f aca="false">E18-F18</f>
        <v>1200000</v>
      </c>
      <c r="K18" s="12" t="n">
        <f aca="false">K17+J18</f>
        <v>1935000</v>
      </c>
    </row>
    <row r="19" customFormat="false" ht="15" hidden="false" customHeight="false" outlineLevel="0" collapsed="false">
      <c r="A19" s="10" t="n">
        <v>45723</v>
      </c>
      <c r="B19" s="4" t="s">
        <v>103</v>
      </c>
      <c r="C19" s="4" t="s">
        <v>104</v>
      </c>
      <c r="D19" s="4" t="n">
        <v>4100</v>
      </c>
      <c r="E19" s="5" t="n">
        <v>450000</v>
      </c>
      <c r="F19" s="5" t="n">
        <v>0</v>
      </c>
      <c r="G19" s="11" t="str">
        <f aca="false">IFERROR(INDEX(Chart_of_Accounts!$B$4:$B$18,MATCH(D19,Chart_of_Accounts!$A$4:$A$18,0)),"INVALID CODE")</f>
        <v>IT support and maintenance</v>
      </c>
      <c r="H19" s="11" t="str">
        <f aca="false">IFERROR(INDEX(Chart_of_Accounts!$C$4:$C$18,MATCH(D19,Chart_of_Accounts!$A$4:$A$18,0)),"")</f>
        <v>Income</v>
      </c>
      <c r="I19" s="2" t="n">
        <f aca="false">MONTH(A19)</f>
        <v>3</v>
      </c>
      <c r="J19" s="12" t="n">
        <f aca="false">E19-F19</f>
        <v>450000</v>
      </c>
      <c r="K19" s="12" t="n">
        <f aca="false">K18+J19</f>
        <v>2385000</v>
      </c>
    </row>
    <row r="20" customFormat="false" ht="15" hidden="false" customHeight="false" outlineLevel="0" collapsed="false">
      <c r="A20" s="10" t="n">
        <v>45726</v>
      </c>
      <c r="B20" s="4" t="s">
        <v>105</v>
      </c>
      <c r="C20" s="4" t="s">
        <v>106</v>
      </c>
      <c r="D20" s="4" t="n">
        <v>5100</v>
      </c>
      <c r="E20" s="5" t="n">
        <v>0</v>
      </c>
      <c r="F20" s="5" t="n">
        <v>350000</v>
      </c>
      <c r="G20" s="11" t="str">
        <f aca="false">IFERROR(INDEX(Chart_of_Accounts!$B$4:$B$18,MATCH(D20,Chart_of_Accounts!$A$4:$A$18,0)),"INVALID CODE")</f>
        <v>Office rent</v>
      </c>
      <c r="H20" s="11" t="str">
        <f aca="false">IFERROR(INDEX(Chart_of_Accounts!$C$4:$C$18,MATCH(D20,Chart_of_Accounts!$A$4:$A$18,0)),"")</f>
        <v>Expense</v>
      </c>
      <c r="I20" s="2" t="n">
        <f aca="false">MONTH(A20)</f>
        <v>3</v>
      </c>
      <c r="J20" s="12" t="n">
        <f aca="false">E20-F20</f>
        <v>-350000</v>
      </c>
      <c r="K20" s="12" t="n">
        <f aca="false">K19+J20</f>
        <v>2035000</v>
      </c>
    </row>
    <row r="21" customFormat="false" ht="15" hidden="false" customHeight="false" outlineLevel="0" collapsed="false">
      <c r="A21" s="10" t="n">
        <v>45734</v>
      </c>
      <c r="B21" s="4" t="s">
        <v>107</v>
      </c>
      <c r="C21" s="4" t="s">
        <v>108</v>
      </c>
      <c r="D21" s="4" t="n">
        <v>5800</v>
      </c>
      <c r="E21" s="5" t="n">
        <v>0</v>
      </c>
      <c r="F21" s="5" t="n">
        <v>180000</v>
      </c>
      <c r="G21" s="11" t="str">
        <f aca="false">IFERROR(INDEX(Chart_of_Accounts!$B$4:$B$18,MATCH(D21,Chart_of_Accounts!$A$4:$A$18,0)),"INVALID CODE")</f>
        <v>Taxes, licences and RRA fees</v>
      </c>
      <c r="H21" s="11" t="str">
        <f aca="false">IFERROR(INDEX(Chart_of_Accounts!$C$4:$C$18,MATCH(D21,Chart_of_Accounts!$A$4:$A$18,0)),"")</f>
        <v>Expense</v>
      </c>
      <c r="I21" s="2" t="n">
        <f aca="false">MONTH(A21)</f>
        <v>3</v>
      </c>
      <c r="J21" s="12" t="n">
        <f aca="false">E21-F21</f>
        <v>-180000</v>
      </c>
      <c r="K21" s="12" t="n">
        <f aca="false">K20+J21</f>
        <v>1855000</v>
      </c>
    </row>
    <row r="22" customFormat="false" ht="15" hidden="false" customHeight="false" outlineLevel="0" collapsed="false">
      <c r="A22" s="10" t="n">
        <v>45741</v>
      </c>
      <c r="B22" s="4" t="s">
        <v>109</v>
      </c>
      <c r="C22" s="4" t="s">
        <v>110</v>
      </c>
      <c r="D22" s="4" t="n">
        <v>5200</v>
      </c>
      <c r="E22" s="5" t="n">
        <v>0</v>
      </c>
      <c r="F22" s="5" t="n">
        <v>60000</v>
      </c>
      <c r="G22" s="11" t="str">
        <f aca="false">IFERROR(INDEX(Chart_of_Accounts!$B$4:$B$18,MATCH(D22,Chart_of_Accounts!$A$4:$A$18,0)),"INVALID CODE")</f>
        <v>Internet and communication</v>
      </c>
      <c r="H22" s="11" t="str">
        <f aca="false">IFERROR(INDEX(Chart_of_Accounts!$C$4:$C$18,MATCH(D22,Chart_of_Accounts!$A$4:$A$18,0)),"")</f>
        <v>Expense</v>
      </c>
      <c r="I22" s="2" t="n">
        <f aca="false">MONTH(A22)</f>
        <v>3</v>
      </c>
      <c r="J22" s="12" t="n">
        <f aca="false">E22-F22</f>
        <v>-60000</v>
      </c>
      <c r="K22" s="12" t="n">
        <f aca="false">K21+J22</f>
        <v>1795000</v>
      </c>
    </row>
    <row r="23" customFormat="false" ht="15" hidden="false" customHeight="false" outlineLevel="0" collapsed="false">
      <c r="A23" s="10" t="n">
        <v>45742</v>
      </c>
      <c r="B23" s="4" t="s">
        <v>111</v>
      </c>
      <c r="C23" s="4" t="s">
        <v>112</v>
      </c>
      <c r="D23" s="4" t="n">
        <v>5300</v>
      </c>
      <c r="E23" s="5" t="n">
        <v>0</v>
      </c>
      <c r="F23" s="5" t="n">
        <v>80000</v>
      </c>
      <c r="G23" s="11" t="str">
        <f aca="false">IFERROR(INDEX(Chart_of_Accounts!$B$4:$B$18,MATCH(D23,Chart_of_Accounts!$A$4:$A$18,0)),"INVALID CODE")</f>
        <v>Electricity and water</v>
      </c>
      <c r="H23" s="11" t="str">
        <f aca="false">IFERROR(INDEX(Chart_of_Accounts!$C$4:$C$18,MATCH(D23,Chart_of_Accounts!$A$4:$A$18,0)),"")</f>
        <v>Expense</v>
      </c>
      <c r="I23" s="2" t="n">
        <f aca="false">MONTH(A23)</f>
        <v>3</v>
      </c>
      <c r="J23" s="12" t="n">
        <f aca="false">E23-F23</f>
        <v>-80000</v>
      </c>
      <c r="K23" s="12" t="n">
        <f aca="false">K22+J23</f>
        <v>1715000</v>
      </c>
    </row>
    <row r="24" customFormat="false" ht="15" hidden="false" customHeight="false" outlineLevel="0" collapsed="false">
      <c r="A24" s="10" t="n">
        <v>45747</v>
      </c>
      <c r="B24" s="4" t="s">
        <v>113</v>
      </c>
      <c r="C24" s="4" t="s">
        <v>114</v>
      </c>
      <c r="D24" s="4" t="n">
        <v>5000</v>
      </c>
      <c r="E24" s="5" t="n">
        <v>0</v>
      </c>
      <c r="F24" s="5" t="n">
        <v>700000</v>
      </c>
      <c r="G24" s="11" t="str">
        <f aca="false">IFERROR(INDEX(Chart_of_Accounts!$B$4:$B$18,MATCH(D24,Chart_of_Accounts!$A$4:$A$18,0)),"INVALID CODE")</f>
        <v>Contractor and staff costs</v>
      </c>
      <c r="H24" s="11" t="str">
        <f aca="false">IFERROR(INDEX(Chart_of_Accounts!$C$4:$C$18,MATCH(D24,Chart_of_Accounts!$A$4:$A$18,0)),"")</f>
        <v>Expense</v>
      </c>
      <c r="I24" s="2" t="n">
        <f aca="false">MONTH(A24)</f>
        <v>3</v>
      </c>
      <c r="J24" s="12" t="n">
        <f aca="false">E24-F24</f>
        <v>-700000</v>
      </c>
      <c r="K24" s="12" t="n">
        <f aca="false">K23+J24</f>
        <v>1015000</v>
      </c>
    </row>
    <row r="25" customFormat="false" ht="15" hidden="false" customHeight="false" outlineLevel="0" collapsed="false">
      <c r="A25" s="10" t="n">
        <v>45754</v>
      </c>
      <c r="B25" s="4" t="s">
        <v>115</v>
      </c>
      <c r="C25" s="4" t="s">
        <v>116</v>
      </c>
      <c r="D25" s="4" t="n">
        <v>4100</v>
      </c>
      <c r="E25" s="5" t="n">
        <v>450000</v>
      </c>
      <c r="F25" s="5" t="n">
        <v>0</v>
      </c>
      <c r="G25" s="11" t="str">
        <f aca="false">IFERROR(INDEX(Chart_of_Accounts!$B$4:$B$18,MATCH(D25,Chart_of_Accounts!$A$4:$A$18,0)),"INVALID CODE")</f>
        <v>IT support and maintenance</v>
      </c>
      <c r="H25" s="11" t="str">
        <f aca="false">IFERROR(INDEX(Chart_of_Accounts!$C$4:$C$18,MATCH(D25,Chart_of_Accounts!$A$4:$A$18,0)),"")</f>
        <v>Income</v>
      </c>
      <c r="I25" s="2" t="n">
        <f aca="false">MONTH(A25)</f>
        <v>4</v>
      </c>
      <c r="J25" s="12" t="n">
        <f aca="false">E25-F25</f>
        <v>450000</v>
      </c>
      <c r="K25" s="12" t="n">
        <f aca="false">K24+J25</f>
        <v>1465000</v>
      </c>
    </row>
    <row r="26" customFormat="false" ht="15" hidden="false" customHeight="false" outlineLevel="0" collapsed="false">
      <c r="A26" s="10" t="n">
        <v>45755</v>
      </c>
      <c r="B26" s="4" t="s">
        <v>117</v>
      </c>
      <c r="C26" s="4" t="s">
        <v>118</v>
      </c>
      <c r="D26" s="4" t="n">
        <v>4200</v>
      </c>
      <c r="E26" s="5" t="n">
        <v>900000</v>
      </c>
      <c r="F26" s="5" t="n">
        <v>0</v>
      </c>
      <c r="G26" s="11" t="str">
        <f aca="false">IFERROR(INDEX(Chart_of_Accounts!$B$4:$B$18,MATCH(D26,Chart_of_Accounts!$A$4:$A$18,0)),"INVALID CODE")</f>
        <v>Training fees</v>
      </c>
      <c r="H26" s="11" t="str">
        <f aca="false">IFERROR(INDEX(Chart_of_Accounts!$C$4:$C$18,MATCH(D26,Chart_of_Accounts!$A$4:$A$18,0)),"")</f>
        <v>Income</v>
      </c>
      <c r="I26" s="2" t="n">
        <f aca="false">MONTH(A26)</f>
        <v>4</v>
      </c>
      <c r="J26" s="12" t="n">
        <f aca="false">E26-F26</f>
        <v>900000</v>
      </c>
      <c r="K26" s="12" t="n">
        <f aca="false">K25+J26</f>
        <v>2365000</v>
      </c>
    </row>
    <row r="27" customFormat="false" ht="15" hidden="false" customHeight="false" outlineLevel="0" collapsed="false">
      <c r="A27" s="10" t="n">
        <v>45757</v>
      </c>
      <c r="B27" s="4" t="s">
        <v>119</v>
      </c>
      <c r="C27" s="4" t="s">
        <v>120</v>
      </c>
      <c r="D27" s="4" t="n">
        <v>5100</v>
      </c>
      <c r="E27" s="5" t="n">
        <v>0</v>
      </c>
      <c r="F27" s="5" t="n">
        <v>350000</v>
      </c>
      <c r="G27" s="11" t="str">
        <f aca="false">IFERROR(INDEX(Chart_of_Accounts!$B$4:$B$18,MATCH(D27,Chart_of_Accounts!$A$4:$A$18,0)),"INVALID CODE")</f>
        <v>Office rent</v>
      </c>
      <c r="H27" s="11" t="str">
        <f aca="false">IFERROR(INDEX(Chart_of_Accounts!$C$4:$C$18,MATCH(D27,Chart_of_Accounts!$A$4:$A$18,0)),"")</f>
        <v>Expense</v>
      </c>
      <c r="I27" s="2" t="n">
        <f aca="false">MONTH(A27)</f>
        <v>4</v>
      </c>
      <c r="J27" s="12" t="n">
        <f aca="false">E27-F27</f>
        <v>-350000</v>
      </c>
      <c r="K27" s="12" t="n">
        <f aca="false">K26+J27</f>
        <v>2015000</v>
      </c>
    </row>
    <row r="28" customFormat="false" ht="15" hidden="false" customHeight="false" outlineLevel="0" collapsed="false">
      <c r="A28" s="10" t="n">
        <v>45772</v>
      </c>
      <c r="B28" s="4" t="s">
        <v>121</v>
      </c>
      <c r="C28" s="4" t="s">
        <v>122</v>
      </c>
      <c r="D28" s="4" t="n">
        <v>5200</v>
      </c>
      <c r="E28" s="5" t="n">
        <v>0</v>
      </c>
      <c r="F28" s="5" t="n">
        <v>60000</v>
      </c>
      <c r="G28" s="11" t="str">
        <f aca="false">IFERROR(INDEX(Chart_of_Accounts!$B$4:$B$18,MATCH(D28,Chart_of_Accounts!$A$4:$A$18,0)),"INVALID CODE")</f>
        <v>Internet and communication</v>
      </c>
      <c r="H28" s="11" t="str">
        <f aca="false">IFERROR(INDEX(Chart_of_Accounts!$C$4:$C$18,MATCH(D28,Chart_of_Accounts!$A$4:$A$18,0)),"")</f>
        <v>Expense</v>
      </c>
      <c r="I28" s="2" t="n">
        <f aca="false">MONTH(A28)</f>
        <v>4</v>
      </c>
      <c r="J28" s="12" t="n">
        <f aca="false">E28-F28</f>
        <v>-60000</v>
      </c>
      <c r="K28" s="12" t="n">
        <f aca="false">K27+J28</f>
        <v>1955000</v>
      </c>
    </row>
    <row r="29" customFormat="false" ht="15" hidden="false" customHeight="false" outlineLevel="0" collapsed="false">
      <c r="A29" s="10" t="n">
        <v>45773</v>
      </c>
      <c r="B29" s="4" t="s">
        <v>123</v>
      </c>
      <c r="C29" s="4" t="s">
        <v>124</v>
      </c>
      <c r="D29" s="4" t="n">
        <v>5300</v>
      </c>
      <c r="E29" s="5" t="n">
        <v>0</v>
      </c>
      <c r="F29" s="5" t="n">
        <v>85000</v>
      </c>
      <c r="G29" s="11" t="str">
        <f aca="false">IFERROR(INDEX(Chart_of_Accounts!$B$4:$B$18,MATCH(D29,Chart_of_Accounts!$A$4:$A$18,0)),"INVALID CODE")</f>
        <v>Electricity and water</v>
      </c>
      <c r="H29" s="11" t="str">
        <f aca="false">IFERROR(INDEX(Chart_of_Accounts!$C$4:$C$18,MATCH(D29,Chart_of_Accounts!$A$4:$A$18,0)),"")</f>
        <v>Expense</v>
      </c>
      <c r="I29" s="2" t="n">
        <f aca="false">MONTH(A29)</f>
        <v>4</v>
      </c>
      <c r="J29" s="12" t="n">
        <f aca="false">E29-F29</f>
        <v>-85000</v>
      </c>
      <c r="K29" s="12" t="n">
        <f aca="false">K28+J29</f>
        <v>1870000</v>
      </c>
    </row>
    <row r="30" customFormat="false" ht="15" hidden="false" customHeight="false" outlineLevel="0" collapsed="false">
      <c r="A30" s="10" t="n">
        <v>45777</v>
      </c>
      <c r="B30" s="4" t="s">
        <v>125</v>
      </c>
      <c r="C30" s="4" t="s">
        <v>126</v>
      </c>
      <c r="D30" s="4" t="n">
        <v>5000</v>
      </c>
      <c r="E30" s="5" t="n">
        <v>0</v>
      </c>
      <c r="F30" s="5" t="n">
        <v>750000</v>
      </c>
      <c r="G30" s="11" t="str">
        <f aca="false">IFERROR(INDEX(Chart_of_Accounts!$B$4:$B$18,MATCH(D30,Chart_of_Accounts!$A$4:$A$18,0)),"INVALID CODE")</f>
        <v>Contractor and staff costs</v>
      </c>
      <c r="H30" s="11" t="str">
        <f aca="false">IFERROR(INDEX(Chart_of_Accounts!$C$4:$C$18,MATCH(D30,Chart_of_Accounts!$A$4:$A$18,0)),"")</f>
        <v>Expense</v>
      </c>
      <c r="I30" s="2" t="n">
        <f aca="false">MONTH(A30)</f>
        <v>4</v>
      </c>
      <c r="J30" s="12" t="n">
        <f aca="false">E30-F30</f>
        <v>-750000</v>
      </c>
      <c r="K30" s="12" t="n">
        <f aca="false">K29+J30</f>
        <v>1120000</v>
      </c>
    </row>
    <row r="31" customFormat="false" ht="15" hidden="false" customHeight="false" outlineLevel="0" collapsed="false">
      <c r="A31" s="10" t="n">
        <v>45784</v>
      </c>
      <c r="B31" s="4" t="s">
        <v>127</v>
      </c>
      <c r="C31" s="4" t="s">
        <v>128</v>
      </c>
      <c r="D31" s="4" t="n">
        <v>4100</v>
      </c>
      <c r="E31" s="5" t="n">
        <v>450000</v>
      </c>
      <c r="F31" s="5" t="n">
        <v>0</v>
      </c>
      <c r="G31" s="11" t="str">
        <f aca="false">IFERROR(INDEX(Chart_of_Accounts!$B$4:$B$18,MATCH(D31,Chart_of_Accounts!$A$4:$A$18,0)),"INVALID CODE")</f>
        <v>IT support and maintenance</v>
      </c>
      <c r="H31" s="11" t="str">
        <f aca="false">IFERROR(INDEX(Chart_of_Accounts!$C$4:$C$18,MATCH(D31,Chart_of_Accounts!$A$4:$A$18,0)),"")</f>
        <v>Income</v>
      </c>
      <c r="I31" s="2" t="n">
        <f aca="false">MONTH(A31)</f>
        <v>5</v>
      </c>
      <c r="J31" s="12" t="n">
        <f aca="false">E31-F31</f>
        <v>450000</v>
      </c>
      <c r="K31" s="12" t="n">
        <f aca="false">K30+J31</f>
        <v>1570000</v>
      </c>
    </row>
    <row r="32" customFormat="false" ht="15" hidden="false" customHeight="false" outlineLevel="0" collapsed="false">
      <c r="A32" s="10" t="n">
        <v>45787</v>
      </c>
      <c r="B32" s="4" t="s">
        <v>129</v>
      </c>
      <c r="C32" s="4" t="s">
        <v>130</v>
      </c>
      <c r="D32" s="4" t="n">
        <v>5100</v>
      </c>
      <c r="E32" s="5" t="n">
        <v>0</v>
      </c>
      <c r="F32" s="5" t="n">
        <v>350000</v>
      </c>
      <c r="G32" s="11" t="str">
        <f aca="false">IFERROR(INDEX(Chart_of_Accounts!$B$4:$B$18,MATCH(D32,Chart_of_Accounts!$A$4:$A$18,0)),"INVALID CODE")</f>
        <v>Office rent</v>
      </c>
      <c r="H32" s="11" t="str">
        <f aca="false">IFERROR(INDEX(Chart_of_Accounts!$C$4:$C$18,MATCH(D32,Chart_of_Accounts!$A$4:$A$18,0)),"")</f>
        <v>Expense</v>
      </c>
      <c r="I32" s="2" t="n">
        <f aca="false">MONTH(A32)</f>
        <v>5</v>
      </c>
      <c r="J32" s="12" t="n">
        <f aca="false">E32-F32</f>
        <v>-350000</v>
      </c>
      <c r="K32" s="12" t="n">
        <f aca="false">K31+J32</f>
        <v>1220000</v>
      </c>
    </row>
    <row r="33" customFormat="false" ht="15" hidden="false" customHeight="false" outlineLevel="0" collapsed="false">
      <c r="A33" s="10" t="n">
        <v>45793</v>
      </c>
      <c r="B33" s="4" t="s">
        <v>131</v>
      </c>
      <c r="C33" s="4" t="s">
        <v>132</v>
      </c>
      <c r="D33" s="4" t="n">
        <v>5700</v>
      </c>
      <c r="E33" s="5" t="n">
        <v>0</v>
      </c>
      <c r="F33" s="5" t="n">
        <v>150000</v>
      </c>
      <c r="G33" s="11" t="str">
        <f aca="false">IFERROR(INDEX(Chart_of_Accounts!$B$4:$B$18,MATCH(D33,Chart_of_Accounts!$A$4:$A$18,0)),"INVALID CODE")</f>
        <v>Marketing</v>
      </c>
      <c r="H33" s="11" t="str">
        <f aca="false">IFERROR(INDEX(Chart_of_Accounts!$C$4:$C$18,MATCH(D33,Chart_of_Accounts!$A$4:$A$18,0)),"")</f>
        <v>Expense</v>
      </c>
      <c r="I33" s="2" t="n">
        <f aca="false">MONTH(A33)</f>
        <v>5</v>
      </c>
      <c r="J33" s="12" t="n">
        <f aca="false">E33-F33</f>
        <v>-150000</v>
      </c>
      <c r="K33" s="12" t="n">
        <f aca="false">K32+J33</f>
        <v>1070000</v>
      </c>
    </row>
    <row r="34" customFormat="false" ht="15" hidden="false" customHeight="false" outlineLevel="0" collapsed="false">
      <c r="A34" s="10" t="n">
        <v>45802</v>
      </c>
      <c r="B34" s="4" t="s">
        <v>133</v>
      </c>
      <c r="C34" s="4" t="s">
        <v>134</v>
      </c>
      <c r="D34" s="4" t="n">
        <v>5200</v>
      </c>
      <c r="E34" s="5" t="n">
        <v>0</v>
      </c>
      <c r="F34" s="5" t="n">
        <v>60000</v>
      </c>
      <c r="G34" s="11" t="str">
        <f aca="false">IFERROR(INDEX(Chart_of_Accounts!$B$4:$B$18,MATCH(D34,Chart_of_Accounts!$A$4:$A$18,0)),"INVALID CODE")</f>
        <v>Internet and communication</v>
      </c>
      <c r="H34" s="11" t="str">
        <f aca="false">IFERROR(INDEX(Chart_of_Accounts!$C$4:$C$18,MATCH(D34,Chart_of_Accounts!$A$4:$A$18,0)),"")</f>
        <v>Expense</v>
      </c>
      <c r="I34" s="2" t="n">
        <f aca="false">MONTH(A34)</f>
        <v>5</v>
      </c>
      <c r="J34" s="12" t="n">
        <f aca="false">E34-F34</f>
        <v>-60000</v>
      </c>
      <c r="K34" s="12" t="n">
        <f aca="false">K33+J34</f>
        <v>1010000</v>
      </c>
    </row>
    <row r="35" customFormat="false" ht="15" hidden="false" customHeight="false" outlineLevel="0" collapsed="false">
      <c r="A35" s="10" t="n">
        <v>45803</v>
      </c>
      <c r="B35" s="4" t="s">
        <v>135</v>
      </c>
      <c r="C35" s="4" t="s">
        <v>136</v>
      </c>
      <c r="D35" s="4" t="n">
        <v>5300</v>
      </c>
      <c r="E35" s="5" t="n">
        <v>0</v>
      </c>
      <c r="F35" s="5" t="n">
        <v>90000</v>
      </c>
      <c r="G35" s="11" t="str">
        <f aca="false">IFERROR(INDEX(Chart_of_Accounts!$B$4:$B$18,MATCH(D35,Chart_of_Accounts!$A$4:$A$18,0)),"INVALID CODE")</f>
        <v>Electricity and water</v>
      </c>
      <c r="H35" s="11" t="str">
        <f aca="false">IFERROR(INDEX(Chart_of_Accounts!$C$4:$C$18,MATCH(D35,Chart_of_Accounts!$A$4:$A$18,0)),"")</f>
        <v>Expense</v>
      </c>
      <c r="I35" s="2" t="n">
        <f aca="false">MONTH(A35)</f>
        <v>5</v>
      </c>
      <c r="J35" s="12" t="n">
        <f aca="false">E35-F35</f>
        <v>-90000</v>
      </c>
      <c r="K35" s="12" t="n">
        <f aca="false">K34+J35</f>
        <v>920000</v>
      </c>
    </row>
    <row r="36" customFormat="false" ht="15" hidden="false" customHeight="false" outlineLevel="0" collapsed="false">
      <c r="A36" s="10" t="n">
        <v>45808</v>
      </c>
      <c r="B36" s="4" t="s">
        <v>137</v>
      </c>
      <c r="C36" s="4" t="s">
        <v>138</v>
      </c>
      <c r="D36" s="4" t="n">
        <v>5000</v>
      </c>
      <c r="E36" s="5" t="n">
        <v>0</v>
      </c>
      <c r="F36" s="5" t="n">
        <v>750000</v>
      </c>
      <c r="G36" s="11" t="str">
        <f aca="false">IFERROR(INDEX(Chart_of_Accounts!$B$4:$B$18,MATCH(D36,Chart_of_Accounts!$A$4:$A$18,0)),"INVALID CODE")</f>
        <v>Contractor and staff costs</v>
      </c>
      <c r="H36" s="11" t="str">
        <f aca="false">IFERROR(INDEX(Chart_of_Accounts!$C$4:$C$18,MATCH(D36,Chart_of_Accounts!$A$4:$A$18,0)),"")</f>
        <v>Expense</v>
      </c>
      <c r="I36" s="2" t="n">
        <f aca="false">MONTH(A36)</f>
        <v>5</v>
      </c>
      <c r="J36" s="12" t="n">
        <f aca="false">E36-F36</f>
        <v>-750000</v>
      </c>
      <c r="K36" s="12" t="n">
        <f aca="false">K35+J36</f>
        <v>170000</v>
      </c>
    </row>
    <row r="37" customFormat="false" ht="15" hidden="false" customHeight="false" outlineLevel="0" collapsed="false">
      <c r="A37" s="10" t="n">
        <v>45815</v>
      </c>
      <c r="B37" s="4" t="s">
        <v>139</v>
      </c>
      <c r="C37" s="4" t="s">
        <v>140</v>
      </c>
      <c r="D37" s="4" t="n">
        <v>4100</v>
      </c>
      <c r="E37" s="5" t="n">
        <v>450000</v>
      </c>
      <c r="F37" s="5" t="n">
        <v>0</v>
      </c>
      <c r="G37" s="11" t="str">
        <f aca="false">IFERROR(INDEX(Chart_of_Accounts!$B$4:$B$18,MATCH(D37,Chart_of_Accounts!$A$4:$A$18,0)),"INVALID CODE")</f>
        <v>IT support and maintenance</v>
      </c>
      <c r="H37" s="11" t="str">
        <f aca="false">IFERROR(INDEX(Chart_of_Accounts!$C$4:$C$18,MATCH(D37,Chart_of_Accounts!$A$4:$A$18,0)),"")</f>
        <v>Income</v>
      </c>
      <c r="I37" s="2" t="n">
        <f aca="false">MONTH(A37)</f>
        <v>6</v>
      </c>
      <c r="J37" s="12" t="n">
        <f aca="false">E37-F37</f>
        <v>450000</v>
      </c>
      <c r="K37" s="12" t="n">
        <f aca="false">K36+J37</f>
        <v>620000</v>
      </c>
    </row>
    <row r="38" customFormat="false" ht="15" hidden="false" customHeight="false" outlineLevel="0" collapsed="false">
      <c r="A38" s="10" t="n">
        <v>45817</v>
      </c>
      <c r="B38" s="4" t="s">
        <v>141</v>
      </c>
      <c r="C38" s="4" t="s">
        <v>142</v>
      </c>
      <c r="D38" s="4" t="n">
        <v>4000</v>
      </c>
      <c r="E38" s="5" t="n">
        <v>2500000</v>
      </c>
      <c r="F38" s="5" t="n">
        <v>0</v>
      </c>
      <c r="G38" s="11" t="str">
        <f aca="false">IFERROR(INDEX(Chart_of_Accounts!$B$4:$B$18,MATCH(D38,Chart_of_Accounts!$A$4:$A$18,0)),"INVALID CODE")</f>
        <v>Software development services</v>
      </c>
      <c r="H38" s="11" t="str">
        <f aca="false">IFERROR(INDEX(Chart_of_Accounts!$C$4:$C$18,MATCH(D38,Chart_of_Accounts!$A$4:$A$18,0)),"")</f>
        <v>Income</v>
      </c>
      <c r="I38" s="2" t="n">
        <f aca="false">MONTH(A38)</f>
        <v>6</v>
      </c>
      <c r="J38" s="12" t="n">
        <f aca="false">E38-F38</f>
        <v>2500000</v>
      </c>
      <c r="K38" s="12" t="n">
        <f aca="false">K37+J38</f>
        <v>3120000</v>
      </c>
    </row>
    <row r="39" customFormat="false" ht="15" hidden="false" customHeight="false" outlineLevel="0" collapsed="false">
      <c r="A39" s="10" t="n">
        <v>45818</v>
      </c>
      <c r="B39" s="4" t="s">
        <v>143</v>
      </c>
      <c r="C39" s="4" t="s">
        <v>144</v>
      </c>
      <c r="D39" s="4" t="n">
        <v>5100</v>
      </c>
      <c r="E39" s="5" t="n">
        <v>0</v>
      </c>
      <c r="F39" s="5" t="n">
        <v>350000</v>
      </c>
      <c r="G39" s="11" t="str">
        <f aca="false">IFERROR(INDEX(Chart_of_Accounts!$B$4:$B$18,MATCH(D39,Chart_of_Accounts!$A$4:$A$18,0)),"INVALID CODE")</f>
        <v>Office rent</v>
      </c>
      <c r="H39" s="11" t="str">
        <f aca="false">IFERROR(INDEX(Chart_of_Accounts!$C$4:$C$18,MATCH(D39,Chart_of_Accounts!$A$4:$A$18,0)),"")</f>
        <v>Expense</v>
      </c>
      <c r="I39" s="2" t="n">
        <f aca="false">MONTH(A39)</f>
        <v>6</v>
      </c>
      <c r="J39" s="12" t="n">
        <f aca="false">E39-F39</f>
        <v>-350000</v>
      </c>
      <c r="K39" s="12" t="n">
        <f aca="false">K38+J39</f>
        <v>2770000</v>
      </c>
    </row>
    <row r="40" customFormat="false" ht="15" hidden="false" customHeight="false" outlineLevel="0" collapsed="false">
      <c r="A40" s="10" t="n">
        <v>45833</v>
      </c>
      <c r="B40" s="4" t="s">
        <v>145</v>
      </c>
      <c r="C40" s="4" t="s">
        <v>146</v>
      </c>
      <c r="D40" s="4" t="n">
        <v>5200</v>
      </c>
      <c r="E40" s="5" t="n">
        <v>0</v>
      </c>
      <c r="F40" s="5" t="n">
        <v>60000</v>
      </c>
      <c r="G40" s="11" t="str">
        <f aca="false">IFERROR(INDEX(Chart_of_Accounts!$B$4:$B$18,MATCH(D40,Chart_of_Accounts!$A$4:$A$18,0)),"INVALID CODE")</f>
        <v>Internet and communication</v>
      </c>
      <c r="H40" s="11" t="str">
        <f aca="false">IFERROR(INDEX(Chart_of_Accounts!$C$4:$C$18,MATCH(D40,Chart_of_Accounts!$A$4:$A$18,0)),"")</f>
        <v>Expense</v>
      </c>
      <c r="I40" s="2" t="n">
        <f aca="false">MONTH(A40)</f>
        <v>6</v>
      </c>
      <c r="J40" s="12" t="n">
        <f aca="false">E40-F40</f>
        <v>-60000</v>
      </c>
      <c r="K40" s="12" t="n">
        <f aca="false">K39+J40</f>
        <v>2710000</v>
      </c>
    </row>
    <row r="41" customFormat="false" ht="15" hidden="false" customHeight="false" outlineLevel="0" collapsed="false">
      <c r="A41" s="10" t="n">
        <v>45834</v>
      </c>
      <c r="B41" s="4" t="s">
        <v>147</v>
      </c>
      <c r="C41" s="4" t="s">
        <v>148</v>
      </c>
      <c r="D41" s="4" t="n">
        <v>5300</v>
      </c>
      <c r="E41" s="5" t="n">
        <v>0</v>
      </c>
      <c r="F41" s="5" t="n">
        <v>80000</v>
      </c>
      <c r="G41" s="11" t="str">
        <f aca="false">IFERROR(INDEX(Chart_of_Accounts!$B$4:$B$18,MATCH(D41,Chart_of_Accounts!$A$4:$A$18,0)),"INVALID CODE")</f>
        <v>Electricity and water</v>
      </c>
      <c r="H41" s="11" t="str">
        <f aca="false">IFERROR(INDEX(Chart_of_Accounts!$C$4:$C$18,MATCH(D41,Chart_of_Accounts!$A$4:$A$18,0)),"")</f>
        <v>Expense</v>
      </c>
      <c r="I41" s="2" t="n">
        <f aca="false">MONTH(A41)</f>
        <v>6</v>
      </c>
      <c r="J41" s="12" t="n">
        <f aca="false">E41-F41</f>
        <v>-80000</v>
      </c>
      <c r="K41" s="12" t="n">
        <f aca="false">K40+J41</f>
        <v>2630000</v>
      </c>
    </row>
    <row r="42" customFormat="false" ht="15" hidden="false" customHeight="false" outlineLevel="0" collapsed="false">
      <c r="A42" s="10" t="n">
        <v>45838</v>
      </c>
      <c r="B42" s="4" t="s">
        <v>149</v>
      </c>
      <c r="C42" s="4" t="s">
        <v>150</v>
      </c>
      <c r="D42" s="4" t="n">
        <v>5000</v>
      </c>
      <c r="E42" s="5" t="n">
        <v>0</v>
      </c>
      <c r="F42" s="5" t="n">
        <v>900000</v>
      </c>
      <c r="G42" s="11" t="str">
        <f aca="false">IFERROR(INDEX(Chart_of_Accounts!$B$4:$B$18,MATCH(D42,Chart_of_Accounts!$A$4:$A$18,0)),"INVALID CODE")</f>
        <v>Contractor and staff costs</v>
      </c>
      <c r="H42" s="11" t="str">
        <f aca="false">IFERROR(INDEX(Chart_of_Accounts!$C$4:$C$18,MATCH(D42,Chart_of_Accounts!$A$4:$A$18,0)),"")</f>
        <v>Expense</v>
      </c>
      <c r="I42" s="2" t="n">
        <f aca="false">MONTH(A42)</f>
        <v>6</v>
      </c>
      <c r="J42" s="12" t="n">
        <f aca="false">E42-F42</f>
        <v>-900000</v>
      </c>
      <c r="K42" s="12" t="n">
        <f aca="false">K41+J42</f>
        <v>1730000</v>
      </c>
    </row>
    <row r="43" customFormat="false" ht="15" hidden="false" customHeight="false" outlineLevel="0" collapsed="false">
      <c r="A43" s="10" t="n">
        <v>45838</v>
      </c>
      <c r="B43" s="4" t="s">
        <v>151</v>
      </c>
      <c r="C43" s="4" t="s">
        <v>152</v>
      </c>
      <c r="D43" s="4" t="n">
        <v>3100</v>
      </c>
      <c r="E43" s="5" t="n">
        <v>0</v>
      </c>
      <c r="F43" s="5" t="n">
        <v>400000</v>
      </c>
      <c r="G43" s="11" t="str">
        <f aca="false">IFERROR(INDEX(Chart_of_Accounts!$B$4:$B$18,MATCH(D43,Chart_of_Accounts!$A$4:$A$18,0)),"INVALID CODE")</f>
        <v>Owner's drawings</v>
      </c>
      <c r="H43" s="11" t="str">
        <f aca="false">IFERROR(INDEX(Chart_of_Accounts!$C$4:$C$18,MATCH(D43,Chart_of_Accounts!$A$4:$A$18,0)),"")</f>
        <v>Equity</v>
      </c>
      <c r="I43" s="2" t="n">
        <f aca="false">MONTH(A43)</f>
        <v>6</v>
      </c>
      <c r="J43" s="12" t="n">
        <f aca="false">E43-F43</f>
        <v>-400000</v>
      </c>
      <c r="K43" s="12" t="n">
        <f aca="false">K42+J43</f>
        <v>1330000</v>
      </c>
    </row>
    <row r="44" customFormat="false" ht="15" hidden="false" customHeight="false" outlineLevel="0" collapsed="false">
      <c r="A44" s="10" t="n">
        <v>45845</v>
      </c>
      <c r="B44" s="4" t="s">
        <v>153</v>
      </c>
      <c r="C44" s="4" t="s">
        <v>154</v>
      </c>
      <c r="D44" s="4" t="n">
        <v>4100</v>
      </c>
      <c r="E44" s="5" t="n">
        <v>450000</v>
      </c>
      <c r="F44" s="5" t="n">
        <v>0</v>
      </c>
      <c r="G44" s="11" t="str">
        <f aca="false">IFERROR(INDEX(Chart_of_Accounts!$B$4:$B$18,MATCH(D44,Chart_of_Accounts!$A$4:$A$18,0)),"INVALID CODE")</f>
        <v>IT support and maintenance</v>
      </c>
      <c r="H44" s="11" t="str">
        <f aca="false">IFERROR(INDEX(Chart_of_Accounts!$C$4:$C$18,MATCH(D44,Chart_of_Accounts!$A$4:$A$18,0)),"")</f>
        <v>Income</v>
      </c>
      <c r="I44" s="2" t="n">
        <f aca="false">MONTH(A44)</f>
        <v>7</v>
      </c>
      <c r="J44" s="12" t="n">
        <f aca="false">E44-F44</f>
        <v>450000</v>
      </c>
      <c r="K44" s="12" t="n">
        <f aca="false">K43+J44</f>
        <v>1780000</v>
      </c>
    </row>
    <row r="45" customFormat="false" ht="15" hidden="false" customHeight="false" outlineLevel="0" collapsed="false">
      <c r="A45" s="10" t="n">
        <v>45848</v>
      </c>
      <c r="B45" s="4" t="s">
        <v>155</v>
      </c>
      <c r="C45" s="4" t="s">
        <v>156</v>
      </c>
      <c r="D45" s="4" t="n">
        <v>5100</v>
      </c>
      <c r="E45" s="5" t="n">
        <v>0</v>
      </c>
      <c r="F45" s="5" t="n">
        <v>350000</v>
      </c>
      <c r="G45" s="11" t="str">
        <f aca="false">IFERROR(INDEX(Chart_of_Accounts!$B$4:$B$18,MATCH(D45,Chart_of_Accounts!$A$4:$A$18,0)),"INVALID CODE")</f>
        <v>Office rent</v>
      </c>
      <c r="H45" s="11" t="str">
        <f aca="false">IFERROR(INDEX(Chart_of_Accounts!$C$4:$C$18,MATCH(D45,Chart_of_Accounts!$A$4:$A$18,0)),"")</f>
        <v>Expense</v>
      </c>
      <c r="I45" s="2" t="n">
        <f aca="false">MONTH(A45)</f>
        <v>7</v>
      </c>
      <c r="J45" s="12" t="n">
        <f aca="false">E45-F45</f>
        <v>-350000</v>
      </c>
      <c r="K45" s="12" t="n">
        <f aca="false">K44+J45</f>
        <v>1430000</v>
      </c>
    </row>
    <row r="46" customFormat="false" ht="15" hidden="false" customHeight="false" outlineLevel="0" collapsed="false">
      <c r="A46" s="10" t="n">
        <v>45863</v>
      </c>
      <c r="B46" s="4" t="s">
        <v>157</v>
      </c>
      <c r="C46" s="4" t="s">
        <v>158</v>
      </c>
      <c r="D46" s="4" t="n">
        <v>5400</v>
      </c>
      <c r="E46" s="5" t="n">
        <v>0</v>
      </c>
      <c r="F46" s="5" t="n">
        <v>95000</v>
      </c>
      <c r="G46" s="11" t="str">
        <f aca="false">IFERROR(INDEX(Chart_of_Accounts!$B$4:$B$18,MATCH(D46,Chart_of_Accounts!$A$4:$A$18,0)),"INVALID CODE")</f>
        <v>Transport</v>
      </c>
      <c r="H46" s="11" t="str">
        <f aca="false">IFERROR(INDEX(Chart_of_Accounts!$C$4:$C$18,MATCH(D46,Chart_of_Accounts!$A$4:$A$18,0)),"")</f>
        <v>Expense</v>
      </c>
      <c r="I46" s="2" t="n">
        <f aca="false">MONTH(A46)</f>
        <v>7</v>
      </c>
      <c r="J46" s="12" t="n">
        <f aca="false">E46-F46</f>
        <v>-95000</v>
      </c>
      <c r="K46" s="12" t="n">
        <f aca="false">K45+J46</f>
        <v>1335000</v>
      </c>
    </row>
    <row r="47" customFormat="false" ht="15" hidden="false" customHeight="false" outlineLevel="0" collapsed="false">
      <c r="A47" s="10" t="n">
        <v>45863</v>
      </c>
      <c r="B47" s="4" t="s">
        <v>159</v>
      </c>
      <c r="C47" s="4" t="s">
        <v>160</v>
      </c>
      <c r="D47" s="4" t="n">
        <v>5200</v>
      </c>
      <c r="E47" s="5" t="n">
        <v>0</v>
      </c>
      <c r="F47" s="5" t="n">
        <v>60000</v>
      </c>
      <c r="G47" s="11" t="str">
        <f aca="false">IFERROR(INDEX(Chart_of_Accounts!$B$4:$B$18,MATCH(D47,Chart_of_Accounts!$A$4:$A$18,0)),"INVALID CODE")</f>
        <v>Internet and communication</v>
      </c>
      <c r="H47" s="11" t="str">
        <f aca="false">IFERROR(INDEX(Chart_of_Accounts!$C$4:$C$18,MATCH(D47,Chart_of_Accounts!$A$4:$A$18,0)),"")</f>
        <v>Expense</v>
      </c>
      <c r="I47" s="2" t="n">
        <f aca="false">MONTH(A47)</f>
        <v>7</v>
      </c>
      <c r="J47" s="12" t="n">
        <f aca="false">E47-F47</f>
        <v>-60000</v>
      </c>
      <c r="K47" s="12" t="n">
        <f aca="false">K46+J47</f>
        <v>1275000</v>
      </c>
    </row>
    <row r="48" customFormat="false" ht="15" hidden="false" customHeight="false" outlineLevel="0" collapsed="false">
      <c r="A48" s="10" t="n">
        <v>45864</v>
      </c>
      <c r="B48" s="4" t="s">
        <v>161</v>
      </c>
      <c r="C48" s="4" t="s">
        <v>162</v>
      </c>
      <c r="D48" s="4" t="n">
        <v>5300</v>
      </c>
      <c r="E48" s="5" t="n">
        <v>0</v>
      </c>
      <c r="F48" s="5" t="n">
        <v>85000</v>
      </c>
      <c r="G48" s="11" t="str">
        <f aca="false">IFERROR(INDEX(Chart_of_Accounts!$B$4:$B$18,MATCH(D48,Chart_of_Accounts!$A$4:$A$18,0)),"INVALID CODE")</f>
        <v>Electricity and water</v>
      </c>
      <c r="H48" s="11" t="str">
        <f aca="false">IFERROR(INDEX(Chart_of_Accounts!$C$4:$C$18,MATCH(D48,Chart_of_Accounts!$A$4:$A$18,0)),"")</f>
        <v>Expense</v>
      </c>
      <c r="I48" s="2" t="n">
        <f aca="false">MONTH(A48)</f>
        <v>7</v>
      </c>
      <c r="J48" s="12" t="n">
        <f aca="false">E48-F48</f>
        <v>-85000</v>
      </c>
      <c r="K48" s="12" t="n">
        <f aca="false">K47+J48</f>
        <v>1190000</v>
      </c>
    </row>
    <row r="49" customFormat="false" ht="15" hidden="false" customHeight="false" outlineLevel="0" collapsed="false">
      <c r="A49" s="10" t="n">
        <v>45869</v>
      </c>
      <c r="B49" s="4" t="s">
        <v>163</v>
      </c>
      <c r="C49" s="4" t="s">
        <v>164</v>
      </c>
      <c r="D49" s="4" t="n">
        <v>5000</v>
      </c>
      <c r="E49" s="5" t="n">
        <v>0</v>
      </c>
      <c r="F49" s="5" t="n">
        <v>900000</v>
      </c>
      <c r="G49" s="11" t="str">
        <f aca="false">IFERROR(INDEX(Chart_of_Accounts!$B$4:$B$18,MATCH(D49,Chart_of_Accounts!$A$4:$A$18,0)),"INVALID CODE")</f>
        <v>Contractor and staff costs</v>
      </c>
      <c r="H49" s="11" t="str">
        <f aca="false">IFERROR(INDEX(Chart_of_Accounts!$C$4:$C$18,MATCH(D49,Chart_of_Accounts!$A$4:$A$18,0)),"")</f>
        <v>Expense</v>
      </c>
      <c r="I49" s="2" t="n">
        <f aca="false">MONTH(A49)</f>
        <v>7</v>
      </c>
      <c r="J49" s="12" t="n">
        <f aca="false">E49-F49</f>
        <v>-900000</v>
      </c>
      <c r="K49" s="12" t="n">
        <f aca="false">K48+J49</f>
        <v>290000</v>
      </c>
    </row>
    <row r="50" customFormat="false" ht="15" hidden="false" customHeight="false" outlineLevel="0" collapsed="false">
      <c r="A50" s="10" t="n">
        <v>45876</v>
      </c>
      <c r="B50" s="4" t="s">
        <v>165</v>
      </c>
      <c r="C50" s="4" t="s">
        <v>166</v>
      </c>
      <c r="D50" s="4" t="n">
        <v>4100</v>
      </c>
      <c r="E50" s="5" t="n">
        <v>450000</v>
      </c>
      <c r="F50" s="5" t="n">
        <v>0</v>
      </c>
      <c r="G50" s="11" t="str">
        <f aca="false">IFERROR(INDEX(Chart_of_Accounts!$B$4:$B$18,MATCH(D50,Chart_of_Accounts!$A$4:$A$18,0)),"INVALID CODE")</f>
        <v>IT support and maintenance</v>
      </c>
      <c r="H50" s="11" t="str">
        <f aca="false">IFERROR(INDEX(Chart_of_Accounts!$C$4:$C$18,MATCH(D50,Chart_of_Accounts!$A$4:$A$18,0)),"")</f>
        <v>Income</v>
      </c>
      <c r="I50" s="2" t="n">
        <f aca="false">MONTH(A50)</f>
        <v>8</v>
      </c>
      <c r="J50" s="12" t="n">
        <f aca="false">E50-F50</f>
        <v>450000</v>
      </c>
      <c r="K50" s="12" t="n">
        <f aca="false">K49+J50</f>
        <v>740000</v>
      </c>
    </row>
    <row r="51" customFormat="false" ht="15" hidden="false" customHeight="false" outlineLevel="0" collapsed="false">
      <c r="A51" s="10" t="n">
        <v>45879</v>
      </c>
      <c r="B51" s="4" t="s">
        <v>167</v>
      </c>
      <c r="C51" s="4" t="s">
        <v>168</v>
      </c>
      <c r="D51" s="4" t="n">
        <v>5100</v>
      </c>
      <c r="E51" s="5" t="n">
        <v>0</v>
      </c>
      <c r="F51" s="5" t="n">
        <v>350000</v>
      </c>
      <c r="G51" s="11" t="str">
        <f aca="false">IFERROR(INDEX(Chart_of_Accounts!$B$4:$B$18,MATCH(D51,Chart_of_Accounts!$A$4:$A$18,0)),"INVALID CODE")</f>
        <v>Office rent</v>
      </c>
      <c r="H51" s="11" t="str">
        <f aca="false">IFERROR(INDEX(Chart_of_Accounts!$C$4:$C$18,MATCH(D51,Chart_of_Accounts!$A$4:$A$18,0)),"")</f>
        <v>Expense</v>
      </c>
      <c r="I51" s="2" t="n">
        <f aca="false">MONTH(A51)</f>
        <v>8</v>
      </c>
      <c r="J51" s="12" t="n">
        <f aca="false">E51-F51</f>
        <v>-350000</v>
      </c>
      <c r="K51" s="12" t="n">
        <f aca="false">K50+J51</f>
        <v>390000</v>
      </c>
    </row>
    <row r="52" customFormat="false" ht="15" hidden="false" customHeight="false" outlineLevel="0" collapsed="false">
      <c r="A52" s="10" t="n">
        <v>45881</v>
      </c>
      <c r="B52" s="4" t="s">
        <v>169</v>
      </c>
      <c r="C52" s="4" t="s">
        <v>170</v>
      </c>
      <c r="D52" s="4" t="n">
        <v>4000</v>
      </c>
      <c r="E52" s="5" t="n">
        <v>2000000</v>
      </c>
      <c r="F52" s="5" t="n">
        <v>0</v>
      </c>
      <c r="G52" s="11" t="str">
        <f aca="false">IFERROR(INDEX(Chart_of_Accounts!$B$4:$B$18,MATCH(D52,Chart_of_Accounts!$A$4:$A$18,0)),"INVALID CODE")</f>
        <v>Software development services</v>
      </c>
      <c r="H52" s="11" t="str">
        <f aca="false">IFERROR(INDEX(Chart_of_Accounts!$C$4:$C$18,MATCH(D52,Chart_of_Accounts!$A$4:$A$18,0)),"")</f>
        <v>Income</v>
      </c>
      <c r="I52" s="2" t="n">
        <f aca="false">MONTH(A52)</f>
        <v>8</v>
      </c>
      <c r="J52" s="12" t="n">
        <f aca="false">E52-F52</f>
        <v>2000000</v>
      </c>
      <c r="K52" s="12" t="n">
        <f aca="false">K51+J52</f>
        <v>2390000</v>
      </c>
    </row>
    <row r="53" customFormat="false" ht="15" hidden="false" customHeight="false" outlineLevel="0" collapsed="false">
      <c r="A53" s="10" t="n">
        <v>45894</v>
      </c>
      <c r="B53" s="4" t="s">
        <v>171</v>
      </c>
      <c r="C53" s="4" t="s">
        <v>172</v>
      </c>
      <c r="D53" s="4" t="n">
        <v>5200</v>
      </c>
      <c r="E53" s="5" t="n">
        <v>0</v>
      </c>
      <c r="F53" s="5" t="n">
        <v>60000</v>
      </c>
      <c r="G53" s="11" t="str">
        <f aca="false">IFERROR(INDEX(Chart_of_Accounts!$B$4:$B$18,MATCH(D53,Chart_of_Accounts!$A$4:$A$18,0)),"INVALID CODE")</f>
        <v>Internet and communication</v>
      </c>
      <c r="H53" s="11" t="str">
        <f aca="false">IFERROR(INDEX(Chart_of_Accounts!$C$4:$C$18,MATCH(D53,Chart_of_Accounts!$A$4:$A$18,0)),"")</f>
        <v>Expense</v>
      </c>
      <c r="I53" s="2" t="n">
        <f aca="false">MONTH(A53)</f>
        <v>8</v>
      </c>
      <c r="J53" s="12" t="n">
        <f aca="false">E53-F53</f>
        <v>-60000</v>
      </c>
      <c r="K53" s="12" t="n">
        <f aca="false">K52+J53</f>
        <v>2330000</v>
      </c>
    </row>
    <row r="54" customFormat="false" ht="15" hidden="false" customHeight="false" outlineLevel="0" collapsed="false">
      <c r="A54" s="10" t="n">
        <v>45895</v>
      </c>
      <c r="B54" s="4" t="s">
        <v>173</v>
      </c>
      <c r="C54" s="4" t="s">
        <v>174</v>
      </c>
      <c r="D54" s="4" t="n">
        <v>5300</v>
      </c>
      <c r="E54" s="5" t="n">
        <v>0</v>
      </c>
      <c r="F54" s="5" t="n">
        <v>90000</v>
      </c>
      <c r="G54" s="11" t="str">
        <f aca="false">IFERROR(INDEX(Chart_of_Accounts!$B$4:$B$18,MATCH(D54,Chart_of_Accounts!$A$4:$A$18,0)),"INVALID CODE")</f>
        <v>Electricity and water</v>
      </c>
      <c r="H54" s="11" t="str">
        <f aca="false">IFERROR(INDEX(Chart_of_Accounts!$C$4:$C$18,MATCH(D54,Chart_of_Accounts!$A$4:$A$18,0)),"")</f>
        <v>Expense</v>
      </c>
      <c r="I54" s="2" t="n">
        <f aca="false">MONTH(A54)</f>
        <v>8</v>
      </c>
      <c r="J54" s="12" t="n">
        <f aca="false">E54-F54</f>
        <v>-90000</v>
      </c>
      <c r="K54" s="12" t="n">
        <f aca="false">K53+J54</f>
        <v>2240000</v>
      </c>
    </row>
    <row r="55" customFormat="false" ht="15" hidden="false" customHeight="false" outlineLevel="0" collapsed="false">
      <c r="A55" s="10" t="n">
        <v>45898</v>
      </c>
      <c r="B55" s="4" t="s">
        <v>175</v>
      </c>
      <c r="C55" s="4" t="s">
        <v>176</v>
      </c>
      <c r="D55" s="4" t="n">
        <v>5000</v>
      </c>
      <c r="E55" s="5" t="n">
        <v>0</v>
      </c>
      <c r="F55" s="5" t="n">
        <v>900000</v>
      </c>
      <c r="G55" s="11" t="str">
        <f aca="false">IFERROR(INDEX(Chart_of_Accounts!$B$4:$B$18,MATCH(D55,Chart_of_Accounts!$A$4:$A$18,0)),"INVALID CODE")</f>
        <v>Contractor and staff costs</v>
      </c>
      <c r="H55" s="11" t="str">
        <f aca="false">IFERROR(INDEX(Chart_of_Accounts!$C$4:$C$18,MATCH(D55,Chart_of_Accounts!$A$4:$A$18,0)),"")</f>
        <v>Expense</v>
      </c>
      <c r="I55" s="2" t="n">
        <f aca="false">MONTH(A55)</f>
        <v>8</v>
      </c>
      <c r="J55" s="12" t="n">
        <f aca="false">E55-F55</f>
        <v>-900000</v>
      </c>
      <c r="K55" s="12" t="n">
        <f aca="false">K54+J55</f>
        <v>1340000</v>
      </c>
    </row>
    <row r="56" customFormat="false" ht="15" hidden="false" customHeight="false" outlineLevel="0" collapsed="false">
      <c r="A56" s="10" t="n">
        <v>45907</v>
      </c>
      <c r="B56" s="4" t="s">
        <v>177</v>
      </c>
      <c r="C56" s="4" t="s">
        <v>178</v>
      </c>
      <c r="D56" s="4" t="n">
        <v>4100</v>
      </c>
      <c r="E56" s="5" t="n">
        <v>450000</v>
      </c>
      <c r="F56" s="5" t="n">
        <v>0</v>
      </c>
      <c r="G56" s="11" t="str">
        <f aca="false">IFERROR(INDEX(Chart_of_Accounts!$B$4:$B$18,MATCH(D56,Chart_of_Accounts!$A$4:$A$18,0)),"INVALID CODE")</f>
        <v>IT support and maintenance</v>
      </c>
      <c r="H56" s="11" t="str">
        <f aca="false">IFERROR(INDEX(Chart_of_Accounts!$C$4:$C$18,MATCH(D56,Chart_of_Accounts!$A$4:$A$18,0)),"")</f>
        <v>Income</v>
      </c>
      <c r="I56" s="2" t="n">
        <f aca="false">MONTH(A56)</f>
        <v>9</v>
      </c>
      <c r="J56" s="12" t="n">
        <f aca="false">E56-F56</f>
        <v>450000</v>
      </c>
      <c r="K56" s="12" t="n">
        <f aca="false">K55+J56</f>
        <v>1790000</v>
      </c>
    </row>
    <row r="57" customFormat="false" ht="15" hidden="false" customHeight="false" outlineLevel="0" collapsed="false">
      <c r="A57" s="10" t="n">
        <v>45909</v>
      </c>
      <c r="B57" s="4" t="s">
        <v>179</v>
      </c>
      <c r="C57" s="4" t="s">
        <v>180</v>
      </c>
      <c r="D57" s="4" t="n">
        <v>4200</v>
      </c>
      <c r="E57" s="5" t="n">
        <v>1050000</v>
      </c>
      <c r="F57" s="5" t="n">
        <v>0</v>
      </c>
      <c r="G57" s="11" t="str">
        <f aca="false">IFERROR(INDEX(Chart_of_Accounts!$B$4:$B$18,MATCH(D57,Chart_of_Accounts!$A$4:$A$18,0)),"INVALID CODE")</f>
        <v>Training fees</v>
      </c>
      <c r="H57" s="11" t="str">
        <f aca="false">IFERROR(INDEX(Chart_of_Accounts!$C$4:$C$18,MATCH(D57,Chart_of_Accounts!$A$4:$A$18,0)),"")</f>
        <v>Income</v>
      </c>
      <c r="I57" s="2" t="n">
        <f aca="false">MONTH(A57)</f>
        <v>9</v>
      </c>
      <c r="J57" s="12" t="n">
        <f aca="false">E57-F57</f>
        <v>1050000</v>
      </c>
      <c r="K57" s="12" t="n">
        <f aca="false">K56+J57</f>
        <v>2840000</v>
      </c>
    </row>
    <row r="58" customFormat="false" ht="15" hidden="false" customHeight="false" outlineLevel="0" collapsed="false">
      <c r="A58" s="10" t="n">
        <v>45910</v>
      </c>
      <c r="B58" s="4" t="s">
        <v>181</v>
      </c>
      <c r="C58" s="4" t="s">
        <v>182</v>
      </c>
      <c r="D58" s="4" t="n">
        <v>5100</v>
      </c>
      <c r="E58" s="5" t="n">
        <v>0</v>
      </c>
      <c r="F58" s="5" t="n">
        <v>350000</v>
      </c>
      <c r="G58" s="11" t="str">
        <f aca="false">IFERROR(INDEX(Chart_of_Accounts!$B$4:$B$18,MATCH(D58,Chart_of_Accounts!$A$4:$A$18,0)),"INVALID CODE")</f>
        <v>Office rent</v>
      </c>
      <c r="H58" s="11" t="str">
        <f aca="false">IFERROR(INDEX(Chart_of_Accounts!$C$4:$C$18,MATCH(D58,Chart_of_Accounts!$A$4:$A$18,0)),"")</f>
        <v>Expense</v>
      </c>
      <c r="I58" s="2" t="n">
        <f aca="false">MONTH(A58)</f>
        <v>9</v>
      </c>
      <c r="J58" s="12" t="n">
        <f aca="false">E58-F58</f>
        <v>-350000</v>
      </c>
      <c r="K58" s="12" t="n">
        <f aca="false">K57+J58</f>
        <v>2490000</v>
      </c>
    </row>
    <row r="59" customFormat="false" ht="15" hidden="false" customHeight="false" outlineLevel="0" collapsed="false">
      <c r="A59" s="10" t="n">
        <v>45925</v>
      </c>
      <c r="B59" s="4" t="s">
        <v>183</v>
      </c>
      <c r="C59" s="4" t="s">
        <v>184</v>
      </c>
      <c r="D59" s="4" t="n">
        <v>5200</v>
      </c>
      <c r="E59" s="5" t="n">
        <v>0</v>
      </c>
      <c r="F59" s="5" t="n">
        <v>60000</v>
      </c>
      <c r="G59" s="11" t="str">
        <f aca="false">IFERROR(INDEX(Chart_of_Accounts!$B$4:$B$18,MATCH(D59,Chart_of_Accounts!$A$4:$A$18,0)),"INVALID CODE")</f>
        <v>Internet and communication</v>
      </c>
      <c r="H59" s="11" t="str">
        <f aca="false">IFERROR(INDEX(Chart_of_Accounts!$C$4:$C$18,MATCH(D59,Chart_of_Accounts!$A$4:$A$18,0)),"")</f>
        <v>Expense</v>
      </c>
      <c r="I59" s="2" t="n">
        <f aca="false">MONTH(A59)</f>
        <v>9</v>
      </c>
      <c r="J59" s="12" t="n">
        <f aca="false">E59-F59</f>
        <v>-60000</v>
      </c>
      <c r="K59" s="12" t="n">
        <f aca="false">K58+J59</f>
        <v>2430000</v>
      </c>
    </row>
    <row r="60" customFormat="false" ht="15" hidden="false" customHeight="false" outlineLevel="0" collapsed="false">
      <c r="A60" s="10" t="n">
        <v>45926</v>
      </c>
      <c r="B60" s="4" t="s">
        <v>185</v>
      </c>
      <c r="C60" s="4" t="s">
        <v>186</v>
      </c>
      <c r="D60" s="4" t="n">
        <v>5300</v>
      </c>
      <c r="E60" s="5" t="n">
        <v>0</v>
      </c>
      <c r="F60" s="5" t="n">
        <v>80000</v>
      </c>
      <c r="G60" s="11" t="str">
        <f aca="false">IFERROR(INDEX(Chart_of_Accounts!$B$4:$B$18,MATCH(D60,Chart_of_Accounts!$A$4:$A$18,0)),"INVALID CODE")</f>
        <v>Electricity and water</v>
      </c>
      <c r="H60" s="11" t="str">
        <f aca="false">IFERROR(INDEX(Chart_of_Accounts!$C$4:$C$18,MATCH(D60,Chart_of_Accounts!$A$4:$A$18,0)),"")</f>
        <v>Expense</v>
      </c>
      <c r="I60" s="2" t="n">
        <f aca="false">MONTH(A60)</f>
        <v>9</v>
      </c>
      <c r="J60" s="12" t="n">
        <f aca="false">E60-F60</f>
        <v>-80000</v>
      </c>
      <c r="K60" s="12" t="n">
        <f aca="false">K59+J60</f>
        <v>2350000</v>
      </c>
    </row>
    <row r="61" customFormat="false" ht="15" hidden="false" customHeight="false" outlineLevel="0" collapsed="false">
      <c r="A61" s="10" t="n">
        <v>45930</v>
      </c>
      <c r="B61" s="4" t="s">
        <v>187</v>
      </c>
      <c r="C61" s="4" t="s">
        <v>188</v>
      </c>
      <c r="D61" s="4" t="n">
        <v>5000</v>
      </c>
      <c r="E61" s="5" t="n">
        <v>0</v>
      </c>
      <c r="F61" s="5" t="n">
        <v>800000</v>
      </c>
      <c r="G61" s="11" t="str">
        <f aca="false">IFERROR(INDEX(Chart_of_Accounts!$B$4:$B$18,MATCH(D61,Chart_of_Accounts!$A$4:$A$18,0)),"INVALID CODE")</f>
        <v>Contractor and staff costs</v>
      </c>
      <c r="H61" s="11" t="str">
        <f aca="false">IFERROR(INDEX(Chart_of_Accounts!$C$4:$C$18,MATCH(D61,Chart_of_Accounts!$A$4:$A$18,0)),"")</f>
        <v>Expense</v>
      </c>
      <c r="I61" s="2" t="n">
        <f aca="false">MONTH(A61)</f>
        <v>9</v>
      </c>
      <c r="J61" s="12" t="n">
        <f aca="false">E61-F61</f>
        <v>-800000</v>
      </c>
      <c r="K61" s="12" t="n">
        <f aca="false">K60+J61</f>
        <v>1550000</v>
      </c>
    </row>
    <row r="62" customFormat="false" ht="15" hidden="false" customHeight="false" outlineLevel="0" collapsed="false">
      <c r="A62" s="10" t="n">
        <v>45937</v>
      </c>
      <c r="B62" s="4" t="s">
        <v>189</v>
      </c>
      <c r="C62" s="4" t="s">
        <v>190</v>
      </c>
      <c r="D62" s="4" t="n">
        <v>4100</v>
      </c>
      <c r="E62" s="5" t="n">
        <v>450000</v>
      </c>
      <c r="F62" s="5" t="n">
        <v>0</v>
      </c>
      <c r="G62" s="11" t="str">
        <f aca="false">IFERROR(INDEX(Chart_of_Accounts!$B$4:$B$18,MATCH(D62,Chart_of_Accounts!$A$4:$A$18,0)),"INVALID CODE")</f>
        <v>IT support and maintenance</v>
      </c>
      <c r="H62" s="11" t="str">
        <f aca="false">IFERROR(INDEX(Chart_of_Accounts!$C$4:$C$18,MATCH(D62,Chart_of_Accounts!$A$4:$A$18,0)),"")</f>
        <v>Income</v>
      </c>
      <c r="I62" s="2" t="n">
        <f aca="false">MONTH(A62)</f>
        <v>10</v>
      </c>
      <c r="J62" s="12" t="n">
        <f aca="false">E62-F62</f>
        <v>450000</v>
      </c>
      <c r="K62" s="12" t="n">
        <f aca="false">K61+J62</f>
        <v>2000000</v>
      </c>
    </row>
    <row r="63" customFormat="false" ht="15" hidden="false" customHeight="false" outlineLevel="0" collapsed="false">
      <c r="A63" s="10" t="n">
        <v>45940</v>
      </c>
      <c r="B63" s="4" t="s">
        <v>191</v>
      </c>
      <c r="C63" s="4" t="s">
        <v>192</v>
      </c>
      <c r="D63" s="4" t="n">
        <v>5100</v>
      </c>
      <c r="E63" s="5" t="n">
        <v>0</v>
      </c>
      <c r="F63" s="5" t="n">
        <v>350000</v>
      </c>
      <c r="G63" s="11" t="str">
        <f aca="false">IFERROR(INDEX(Chart_of_Accounts!$B$4:$B$18,MATCH(D63,Chart_of_Accounts!$A$4:$A$18,0)),"INVALID CODE")</f>
        <v>Office rent</v>
      </c>
      <c r="H63" s="11" t="str">
        <f aca="false">IFERROR(INDEX(Chart_of_Accounts!$C$4:$C$18,MATCH(D63,Chart_of_Accounts!$A$4:$A$18,0)),"")</f>
        <v>Expense</v>
      </c>
      <c r="I63" s="2" t="n">
        <f aca="false">MONTH(A63)</f>
        <v>10</v>
      </c>
      <c r="J63" s="12" t="n">
        <f aca="false">E63-F63</f>
        <v>-350000</v>
      </c>
      <c r="K63" s="12" t="n">
        <f aca="false">K62+J63</f>
        <v>1650000</v>
      </c>
    </row>
    <row r="64" customFormat="false" ht="15" hidden="false" customHeight="false" outlineLevel="0" collapsed="false">
      <c r="A64" s="10" t="n">
        <v>45946</v>
      </c>
      <c r="B64" s="4" t="s">
        <v>193</v>
      </c>
      <c r="C64" s="4" t="s">
        <v>194</v>
      </c>
      <c r="D64" s="4" t="n">
        <v>4000</v>
      </c>
      <c r="E64" s="5" t="n">
        <v>1800000</v>
      </c>
      <c r="F64" s="5" t="n">
        <v>0</v>
      </c>
      <c r="G64" s="11" t="str">
        <f aca="false">IFERROR(INDEX(Chart_of_Accounts!$B$4:$B$18,MATCH(D64,Chart_of_Accounts!$A$4:$A$18,0)),"INVALID CODE")</f>
        <v>Software development services</v>
      </c>
      <c r="H64" s="11" t="str">
        <f aca="false">IFERROR(INDEX(Chart_of_Accounts!$C$4:$C$18,MATCH(D64,Chart_of_Accounts!$A$4:$A$18,0)),"")</f>
        <v>Income</v>
      </c>
      <c r="I64" s="2" t="n">
        <f aca="false">MONTH(A64)</f>
        <v>10</v>
      </c>
      <c r="J64" s="12" t="n">
        <f aca="false">E64-F64</f>
        <v>1800000</v>
      </c>
      <c r="K64" s="12" t="n">
        <f aca="false">K63+J64</f>
        <v>3450000</v>
      </c>
    </row>
    <row r="65" customFormat="false" ht="15" hidden="false" customHeight="false" outlineLevel="0" collapsed="false">
      <c r="A65" s="10" t="n">
        <v>45950</v>
      </c>
      <c r="B65" s="4" t="s">
        <v>195</v>
      </c>
      <c r="C65" s="4" t="s">
        <v>196</v>
      </c>
      <c r="D65" s="4" t="n">
        <v>1500</v>
      </c>
      <c r="E65" s="5" t="n">
        <v>0</v>
      </c>
      <c r="F65" s="5" t="n">
        <v>280000</v>
      </c>
      <c r="G65" s="11" t="str">
        <f aca="false">IFERROR(INDEX(Chart_of_Accounts!$B$4:$B$18,MATCH(D65,Chart_of_Accounts!$A$4:$A$18,0)),"INVALID CODE")</f>
        <v>Office and IT equipment</v>
      </c>
      <c r="H65" s="11" t="str">
        <f aca="false">IFERROR(INDEX(Chart_of_Accounts!$C$4:$C$18,MATCH(D65,Chart_of_Accounts!$A$4:$A$18,0)),"")</f>
        <v>Asset</v>
      </c>
      <c r="I65" s="2" t="n">
        <f aca="false">MONTH(A65)</f>
        <v>10</v>
      </c>
      <c r="J65" s="12" t="n">
        <f aca="false">E65-F65</f>
        <v>-280000</v>
      </c>
      <c r="K65" s="12" t="n">
        <f aca="false">K64+J65</f>
        <v>3170000</v>
      </c>
    </row>
    <row r="66" customFormat="false" ht="15" hidden="false" customHeight="false" outlineLevel="0" collapsed="false">
      <c r="A66" s="10" t="n">
        <v>45955</v>
      </c>
      <c r="B66" s="4" t="s">
        <v>197</v>
      </c>
      <c r="C66" s="4" t="s">
        <v>198</v>
      </c>
      <c r="D66" s="4" t="n">
        <v>5200</v>
      </c>
      <c r="E66" s="5" t="n">
        <v>0</v>
      </c>
      <c r="F66" s="5" t="n">
        <v>60000</v>
      </c>
      <c r="G66" s="11" t="str">
        <f aca="false">IFERROR(INDEX(Chart_of_Accounts!$B$4:$B$18,MATCH(D66,Chart_of_Accounts!$A$4:$A$18,0)),"INVALID CODE")</f>
        <v>Internet and communication</v>
      </c>
      <c r="H66" s="11" t="str">
        <f aca="false">IFERROR(INDEX(Chart_of_Accounts!$C$4:$C$18,MATCH(D66,Chart_of_Accounts!$A$4:$A$18,0)),"")</f>
        <v>Expense</v>
      </c>
      <c r="I66" s="2" t="n">
        <f aca="false">MONTH(A66)</f>
        <v>10</v>
      </c>
      <c r="J66" s="12" t="n">
        <f aca="false">E66-F66</f>
        <v>-60000</v>
      </c>
      <c r="K66" s="12" t="n">
        <f aca="false">K65+J66</f>
        <v>3110000</v>
      </c>
    </row>
    <row r="67" customFormat="false" ht="15" hidden="false" customHeight="false" outlineLevel="0" collapsed="false">
      <c r="A67" s="10" t="n">
        <v>45956</v>
      </c>
      <c r="B67" s="4" t="s">
        <v>199</v>
      </c>
      <c r="C67" s="4" t="s">
        <v>200</v>
      </c>
      <c r="D67" s="4" t="n">
        <v>5300</v>
      </c>
      <c r="E67" s="5" t="n">
        <v>0</v>
      </c>
      <c r="F67" s="5" t="n">
        <v>85000</v>
      </c>
      <c r="G67" s="11" t="str">
        <f aca="false">IFERROR(INDEX(Chart_of_Accounts!$B$4:$B$18,MATCH(D67,Chart_of_Accounts!$A$4:$A$18,0)),"INVALID CODE")</f>
        <v>Electricity and water</v>
      </c>
      <c r="H67" s="11" t="str">
        <f aca="false">IFERROR(INDEX(Chart_of_Accounts!$C$4:$C$18,MATCH(D67,Chart_of_Accounts!$A$4:$A$18,0)),"")</f>
        <v>Expense</v>
      </c>
      <c r="I67" s="2" t="n">
        <f aca="false">MONTH(A67)</f>
        <v>10</v>
      </c>
      <c r="J67" s="12" t="n">
        <f aca="false">E67-F67</f>
        <v>-85000</v>
      </c>
      <c r="K67" s="12" t="n">
        <f aca="false">K66+J67</f>
        <v>3025000</v>
      </c>
    </row>
    <row r="68" customFormat="false" ht="15" hidden="false" customHeight="false" outlineLevel="0" collapsed="false">
      <c r="A68" s="10" t="n">
        <v>45961</v>
      </c>
      <c r="B68" s="4" t="s">
        <v>201</v>
      </c>
      <c r="C68" s="4" t="s">
        <v>202</v>
      </c>
      <c r="D68" s="4" t="n">
        <v>5000</v>
      </c>
      <c r="E68" s="5" t="n">
        <v>0</v>
      </c>
      <c r="F68" s="5" t="n">
        <v>800000</v>
      </c>
      <c r="G68" s="11" t="str">
        <f aca="false">IFERROR(INDEX(Chart_of_Accounts!$B$4:$B$18,MATCH(D68,Chart_of_Accounts!$A$4:$A$18,0)),"INVALID CODE")</f>
        <v>Contractor and staff costs</v>
      </c>
      <c r="H68" s="11" t="str">
        <f aca="false">IFERROR(INDEX(Chart_of_Accounts!$C$4:$C$18,MATCH(D68,Chart_of_Accounts!$A$4:$A$18,0)),"")</f>
        <v>Expense</v>
      </c>
      <c r="I68" s="2" t="n">
        <f aca="false">MONTH(A68)</f>
        <v>10</v>
      </c>
      <c r="J68" s="12" t="n">
        <f aca="false">E68-F68</f>
        <v>-800000</v>
      </c>
      <c r="K68" s="12" t="n">
        <f aca="false">K67+J68</f>
        <v>2225000</v>
      </c>
    </row>
    <row r="69" customFormat="false" ht="15" hidden="false" customHeight="false" outlineLevel="0" collapsed="false">
      <c r="A69" s="10" t="n">
        <v>45968</v>
      </c>
      <c r="B69" s="4" t="s">
        <v>203</v>
      </c>
      <c r="C69" s="4" t="s">
        <v>204</v>
      </c>
      <c r="D69" s="4" t="n">
        <v>4100</v>
      </c>
      <c r="E69" s="5" t="n">
        <v>450000</v>
      </c>
      <c r="F69" s="5" t="n">
        <v>0</v>
      </c>
      <c r="G69" s="11" t="str">
        <f aca="false">IFERROR(INDEX(Chart_of_Accounts!$B$4:$B$18,MATCH(D69,Chart_of_Accounts!$A$4:$A$18,0)),"INVALID CODE")</f>
        <v>IT support and maintenance</v>
      </c>
      <c r="H69" s="11" t="str">
        <f aca="false">IFERROR(INDEX(Chart_of_Accounts!$C$4:$C$18,MATCH(D69,Chart_of_Accounts!$A$4:$A$18,0)),"")</f>
        <v>Income</v>
      </c>
      <c r="I69" s="2" t="n">
        <f aca="false">MONTH(A69)</f>
        <v>11</v>
      </c>
      <c r="J69" s="12" t="n">
        <f aca="false">E69-F69</f>
        <v>450000</v>
      </c>
      <c r="K69" s="12" t="n">
        <f aca="false">K68+J69</f>
        <v>2675000</v>
      </c>
    </row>
    <row r="70" customFormat="false" ht="15" hidden="false" customHeight="false" outlineLevel="0" collapsed="false">
      <c r="A70" s="10" t="n">
        <v>45971</v>
      </c>
      <c r="B70" s="4" t="s">
        <v>205</v>
      </c>
      <c r="C70" s="4" t="s">
        <v>206</v>
      </c>
      <c r="D70" s="4" t="n">
        <v>5100</v>
      </c>
      <c r="E70" s="5" t="n">
        <v>0</v>
      </c>
      <c r="F70" s="5" t="n">
        <v>350000</v>
      </c>
      <c r="G70" s="11" t="str">
        <f aca="false">IFERROR(INDEX(Chart_of_Accounts!$B$4:$B$18,MATCH(D70,Chart_of_Accounts!$A$4:$A$18,0)),"INVALID CODE")</f>
        <v>Office rent</v>
      </c>
      <c r="H70" s="11" t="str">
        <f aca="false">IFERROR(INDEX(Chart_of_Accounts!$C$4:$C$18,MATCH(D70,Chart_of_Accounts!$A$4:$A$18,0)),"")</f>
        <v>Expense</v>
      </c>
      <c r="I70" s="2" t="n">
        <f aca="false">MONTH(A70)</f>
        <v>11</v>
      </c>
      <c r="J70" s="12" t="n">
        <f aca="false">E70-F70</f>
        <v>-350000</v>
      </c>
      <c r="K70" s="12" t="n">
        <f aca="false">K69+J70</f>
        <v>2325000</v>
      </c>
    </row>
    <row r="71" customFormat="false" ht="15" hidden="false" customHeight="false" outlineLevel="0" collapsed="false">
      <c r="A71" s="10" t="n">
        <v>45975</v>
      </c>
      <c r="B71" s="4" t="s">
        <v>207</v>
      </c>
      <c r="C71" s="4" t="s">
        <v>208</v>
      </c>
      <c r="D71" s="4" t="n">
        <v>4100</v>
      </c>
      <c r="E71" s="5" t="n">
        <v>600000</v>
      </c>
      <c r="F71" s="5" t="n">
        <v>0</v>
      </c>
      <c r="G71" s="11" t="str">
        <f aca="false">IFERROR(INDEX(Chart_of_Accounts!$B$4:$B$18,MATCH(D71,Chart_of_Accounts!$A$4:$A$18,0)),"INVALID CODE")</f>
        <v>IT support and maintenance</v>
      </c>
      <c r="H71" s="11" t="str">
        <f aca="false">IFERROR(INDEX(Chart_of_Accounts!$C$4:$C$18,MATCH(D71,Chart_of_Accounts!$A$4:$A$18,0)),"")</f>
        <v>Income</v>
      </c>
      <c r="I71" s="2" t="n">
        <f aca="false">MONTH(A71)</f>
        <v>11</v>
      </c>
      <c r="J71" s="12" t="n">
        <f aca="false">E71-F71</f>
        <v>600000</v>
      </c>
      <c r="K71" s="12" t="n">
        <f aca="false">K70+J71</f>
        <v>2925000</v>
      </c>
    </row>
    <row r="72" customFormat="false" ht="15" hidden="false" customHeight="false" outlineLevel="0" collapsed="false">
      <c r="A72" s="10" t="n">
        <v>45986</v>
      </c>
      <c r="B72" s="4" t="s">
        <v>209</v>
      </c>
      <c r="C72" s="4" t="s">
        <v>210</v>
      </c>
      <c r="D72" s="4" t="n">
        <v>5200</v>
      </c>
      <c r="E72" s="5" t="n">
        <v>0</v>
      </c>
      <c r="F72" s="5" t="n">
        <v>60000</v>
      </c>
      <c r="G72" s="11" t="str">
        <f aca="false">IFERROR(INDEX(Chart_of_Accounts!$B$4:$B$18,MATCH(D72,Chart_of_Accounts!$A$4:$A$18,0)),"INVALID CODE")</f>
        <v>Internet and communication</v>
      </c>
      <c r="H72" s="11" t="str">
        <f aca="false">IFERROR(INDEX(Chart_of_Accounts!$C$4:$C$18,MATCH(D72,Chart_of_Accounts!$A$4:$A$18,0)),"")</f>
        <v>Expense</v>
      </c>
      <c r="I72" s="2" t="n">
        <f aca="false">MONTH(A72)</f>
        <v>11</v>
      </c>
      <c r="J72" s="12" t="n">
        <f aca="false">E72-F72</f>
        <v>-60000</v>
      </c>
      <c r="K72" s="12" t="n">
        <f aca="false">K71+J72</f>
        <v>2865000</v>
      </c>
    </row>
    <row r="73" customFormat="false" ht="15" hidden="false" customHeight="false" outlineLevel="0" collapsed="false">
      <c r="A73" s="10" t="n">
        <v>45987</v>
      </c>
      <c r="B73" s="4" t="s">
        <v>211</v>
      </c>
      <c r="C73" s="4" t="s">
        <v>212</v>
      </c>
      <c r="D73" s="4" t="n">
        <v>5300</v>
      </c>
      <c r="E73" s="5" t="n">
        <v>0</v>
      </c>
      <c r="F73" s="5" t="n">
        <v>90000</v>
      </c>
      <c r="G73" s="11" t="str">
        <f aca="false">IFERROR(INDEX(Chart_of_Accounts!$B$4:$B$18,MATCH(D73,Chart_of_Accounts!$A$4:$A$18,0)),"INVALID CODE")</f>
        <v>Electricity and water</v>
      </c>
      <c r="H73" s="11" t="str">
        <f aca="false">IFERROR(INDEX(Chart_of_Accounts!$C$4:$C$18,MATCH(D73,Chart_of_Accounts!$A$4:$A$18,0)),"")</f>
        <v>Expense</v>
      </c>
      <c r="I73" s="2" t="n">
        <f aca="false">MONTH(A73)</f>
        <v>11</v>
      </c>
      <c r="J73" s="12" t="n">
        <f aca="false">E73-F73</f>
        <v>-90000</v>
      </c>
      <c r="K73" s="12" t="n">
        <f aca="false">K72+J73</f>
        <v>2775000</v>
      </c>
    </row>
    <row r="74" customFormat="false" ht="15" hidden="false" customHeight="false" outlineLevel="0" collapsed="false">
      <c r="A74" s="10" t="n">
        <v>45989</v>
      </c>
      <c r="B74" s="4" t="s">
        <v>213</v>
      </c>
      <c r="C74" s="4" t="s">
        <v>214</v>
      </c>
      <c r="D74" s="4" t="n">
        <v>5000</v>
      </c>
      <c r="E74" s="5" t="n">
        <v>0</v>
      </c>
      <c r="F74" s="5" t="n">
        <v>800000</v>
      </c>
      <c r="G74" s="11" t="str">
        <f aca="false">IFERROR(INDEX(Chart_of_Accounts!$B$4:$B$18,MATCH(D74,Chart_of_Accounts!$A$4:$A$18,0)),"INVALID CODE")</f>
        <v>Contractor and staff costs</v>
      </c>
      <c r="H74" s="11" t="str">
        <f aca="false">IFERROR(INDEX(Chart_of_Accounts!$C$4:$C$18,MATCH(D74,Chart_of_Accounts!$A$4:$A$18,0)),"")</f>
        <v>Expense</v>
      </c>
      <c r="I74" s="2" t="n">
        <f aca="false">MONTH(A74)</f>
        <v>11</v>
      </c>
      <c r="J74" s="12" t="n">
        <f aca="false">E74-F74</f>
        <v>-800000</v>
      </c>
      <c r="K74" s="12" t="n">
        <f aca="false">K73+J74</f>
        <v>1975000</v>
      </c>
    </row>
    <row r="75" customFormat="false" ht="15" hidden="false" customHeight="false" outlineLevel="0" collapsed="false">
      <c r="A75" s="10" t="n">
        <v>45996</v>
      </c>
      <c r="B75" s="4" t="s">
        <v>215</v>
      </c>
      <c r="C75" s="4" t="s">
        <v>216</v>
      </c>
      <c r="D75" s="4" t="n">
        <v>3000</v>
      </c>
      <c r="E75" s="5" t="n">
        <v>500000</v>
      </c>
      <c r="F75" s="5" t="n">
        <v>0</v>
      </c>
      <c r="G75" s="11" t="str">
        <f aca="false">IFERROR(INDEX(Chart_of_Accounts!$B$4:$B$18,MATCH(D75,Chart_of_Accounts!$A$4:$A$18,0)),"INVALID CODE")</f>
        <v>Owner's capital introduced</v>
      </c>
      <c r="H75" s="11" t="str">
        <f aca="false">IFERROR(INDEX(Chart_of_Accounts!$C$4:$C$18,MATCH(D75,Chart_of_Accounts!$A$4:$A$18,0)),"")</f>
        <v>Equity</v>
      </c>
      <c r="I75" s="2" t="n">
        <f aca="false">MONTH(A75)</f>
        <v>12</v>
      </c>
      <c r="J75" s="12" t="n">
        <f aca="false">E75-F75</f>
        <v>500000</v>
      </c>
      <c r="K75" s="12" t="n">
        <f aca="false">K74+J75</f>
        <v>2475000</v>
      </c>
    </row>
    <row r="76" customFormat="false" ht="15" hidden="false" customHeight="false" outlineLevel="0" collapsed="false">
      <c r="A76" s="10" t="n">
        <v>45998</v>
      </c>
      <c r="B76" s="4" t="s">
        <v>217</v>
      </c>
      <c r="C76" s="4" t="s">
        <v>218</v>
      </c>
      <c r="D76" s="4" t="n">
        <v>4100</v>
      </c>
      <c r="E76" s="5" t="n">
        <v>450000</v>
      </c>
      <c r="F76" s="5" t="n">
        <v>0</v>
      </c>
      <c r="G76" s="11" t="str">
        <f aca="false">IFERROR(INDEX(Chart_of_Accounts!$B$4:$B$18,MATCH(D76,Chart_of_Accounts!$A$4:$A$18,0)),"INVALID CODE")</f>
        <v>IT support and maintenance</v>
      </c>
      <c r="H76" s="11" t="str">
        <f aca="false">IFERROR(INDEX(Chart_of_Accounts!$C$4:$C$18,MATCH(D76,Chart_of_Accounts!$A$4:$A$18,0)),"")</f>
        <v>Income</v>
      </c>
      <c r="I76" s="2" t="n">
        <f aca="false">MONTH(A76)</f>
        <v>12</v>
      </c>
      <c r="J76" s="12" t="n">
        <f aca="false">E76-F76</f>
        <v>450000</v>
      </c>
      <c r="K76" s="12" t="n">
        <f aca="false">K75+J76</f>
        <v>2925000</v>
      </c>
    </row>
    <row r="77" customFormat="false" ht="15" hidden="false" customHeight="false" outlineLevel="0" collapsed="false">
      <c r="A77" s="10" t="n">
        <v>46001</v>
      </c>
      <c r="B77" s="4" t="s">
        <v>219</v>
      </c>
      <c r="C77" s="4" t="s">
        <v>220</v>
      </c>
      <c r="D77" s="4" t="n">
        <v>5100</v>
      </c>
      <c r="E77" s="5" t="n">
        <v>0</v>
      </c>
      <c r="F77" s="5" t="n">
        <v>350000</v>
      </c>
      <c r="G77" s="11" t="str">
        <f aca="false">IFERROR(INDEX(Chart_of_Accounts!$B$4:$B$18,MATCH(D77,Chart_of_Accounts!$A$4:$A$18,0)),"INVALID CODE")</f>
        <v>Office rent</v>
      </c>
      <c r="H77" s="11" t="str">
        <f aca="false">IFERROR(INDEX(Chart_of_Accounts!$C$4:$C$18,MATCH(D77,Chart_of_Accounts!$A$4:$A$18,0)),"")</f>
        <v>Expense</v>
      </c>
      <c r="I77" s="2" t="n">
        <f aca="false">MONTH(A77)</f>
        <v>12</v>
      </c>
      <c r="J77" s="12" t="n">
        <f aca="false">E77-F77</f>
        <v>-350000</v>
      </c>
      <c r="K77" s="12" t="n">
        <f aca="false">K76+J77</f>
        <v>2575000</v>
      </c>
    </row>
    <row r="78" customFormat="false" ht="15" hidden="false" customHeight="false" outlineLevel="0" collapsed="false">
      <c r="A78" s="10" t="n">
        <v>46003</v>
      </c>
      <c r="B78" s="4" t="s">
        <v>221</v>
      </c>
      <c r="C78" s="4" t="s">
        <v>222</v>
      </c>
      <c r="D78" s="4" t="n">
        <v>4200</v>
      </c>
      <c r="E78" s="5" t="n">
        <v>1100000</v>
      </c>
      <c r="F78" s="5" t="n">
        <v>0</v>
      </c>
      <c r="G78" s="11" t="str">
        <f aca="false">IFERROR(INDEX(Chart_of_Accounts!$B$4:$B$18,MATCH(D78,Chart_of_Accounts!$A$4:$A$18,0)),"INVALID CODE")</f>
        <v>Training fees</v>
      </c>
      <c r="H78" s="11" t="str">
        <f aca="false">IFERROR(INDEX(Chart_of_Accounts!$C$4:$C$18,MATCH(D78,Chart_of_Accounts!$A$4:$A$18,0)),"")</f>
        <v>Income</v>
      </c>
      <c r="I78" s="2" t="n">
        <f aca="false">MONTH(A78)</f>
        <v>12</v>
      </c>
      <c r="J78" s="12" t="n">
        <f aca="false">E78-F78</f>
        <v>1100000</v>
      </c>
      <c r="K78" s="12" t="n">
        <f aca="false">K77+J78</f>
        <v>3675000</v>
      </c>
    </row>
    <row r="79" customFormat="false" ht="15" hidden="false" customHeight="false" outlineLevel="0" collapsed="false">
      <c r="A79" s="10" t="n">
        <v>46016</v>
      </c>
      <c r="B79" s="4" t="s">
        <v>223</v>
      </c>
      <c r="C79" s="4" t="s">
        <v>224</v>
      </c>
      <c r="D79" s="4" t="n">
        <v>5200</v>
      </c>
      <c r="E79" s="5" t="n">
        <v>0</v>
      </c>
      <c r="F79" s="5" t="n">
        <v>60000</v>
      </c>
      <c r="G79" s="11" t="str">
        <f aca="false">IFERROR(INDEX(Chart_of_Accounts!$B$4:$B$18,MATCH(D79,Chart_of_Accounts!$A$4:$A$18,0)),"INVALID CODE")</f>
        <v>Internet and communication</v>
      </c>
      <c r="H79" s="11" t="str">
        <f aca="false">IFERROR(INDEX(Chart_of_Accounts!$C$4:$C$18,MATCH(D79,Chart_of_Accounts!$A$4:$A$18,0)),"")</f>
        <v>Expense</v>
      </c>
      <c r="I79" s="2" t="n">
        <f aca="false">MONTH(A79)</f>
        <v>12</v>
      </c>
      <c r="J79" s="12" t="n">
        <f aca="false">E79-F79</f>
        <v>-60000</v>
      </c>
      <c r="K79" s="12" t="n">
        <f aca="false">K78+J79</f>
        <v>3615000</v>
      </c>
    </row>
    <row r="80" customFormat="false" ht="15" hidden="false" customHeight="false" outlineLevel="0" collapsed="false">
      <c r="A80" s="10" t="n">
        <v>46017</v>
      </c>
      <c r="B80" s="4" t="s">
        <v>225</v>
      </c>
      <c r="C80" s="4" t="s">
        <v>226</v>
      </c>
      <c r="D80" s="4" t="n">
        <v>5300</v>
      </c>
      <c r="E80" s="5" t="n">
        <v>0</v>
      </c>
      <c r="F80" s="5" t="n">
        <v>80000</v>
      </c>
      <c r="G80" s="11" t="str">
        <f aca="false">IFERROR(INDEX(Chart_of_Accounts!$B$4:$B$18,MATCH(D80,Chart_of_Accounts!$A$4:$A$18,0)),"INVALID CODE")</f>
        <v>Electricity and water</v>
      </c>
      <c r="H80" s="11" t="str">
        <f aca="false">IFERROR(INDEX(Chart_of_Accounts!$C$4:$C$18,MATCH(D80,Chart_of_Accounts!$A$4:$A$18,0)),"")</f>
        <v>Expense</v>
      </c>
      <c r="I80" s="2" t="n">
        <f aca="false">MONTH(A80)</f>
        <v>12</v>
      </c>
      <c r="J80" s="12" t="n">
        <f aca="false">E80-F80</f>
        <v>-80000</v>
      </c>
      <c r="K80" s="12" t="n">
        <f aca="false">K79+J80</f>
        <v>3535000</v>
      </c>
    </row>
    <row r="81" customFormat="false" ht="15" hidden="false" customHeight="false" outlineLevel="0" collapsed="false">
      <c r="A81" s="10" t="n">
        <v>46022</v>
      </c>
      <c r="B81" s="4" t="s">
        <v>227</v>
      </c>
      <c r="C81" s="4" t="s">
        <v>228</v>
      </c>
      <c r="D81" s="4" t="n">
        <v>5600</v>
      </c>
      <c r="E81" s="5" t="n">
        <v>0</v>
      </c>
      <c r="F81" s="5" t="n">
        <v>48000</v>
      </c>
      <c r="G81" s="11" t="str">
        <f aca="false">IFERROR(INDEX(Chart_of_Accounts!$B$4:$B$18,MATCH(D81,Chart_of_Accounts!$A$4:$A$18,0)),"INVALID CODE")</f>
        <v>Bank charges</v>
      </c>
      <c r="H81" s="11" t="str">
        <f aca="false">IFERROR(INDEX(Chart_of_Accounts!$C$4:$C$18,MATCH(D81,Chart_of_Accounts!$A$4:$A$18,0)),"")</f>
        <v>Expense</v>
      </c>
      <c r="I81" s="2" t="n">
        <f aca="false">MONTH(A81)</f>
        <v>12</v>
      </c>
      <c r="J81" s="12" t="n">
        <f aca="false">E81-F81</f>
        <v>-48000</v>
      </c>
      <c r="K81" s="12" t="n">
        <f aca="false">K80+J81</f>
        <v>3487000</v>
      </c>
    </row>
    <row r="82" customFormat="false" ht="15" hidden="false" customHeight="false" outlineLevel="0" collapsed="false">
      <c r="A82" s="10" t="n">
        <v>46022</v>
      </c>
      <c r="B82" s="4" t="s">
        <v>229</v>
      </c>
      <c r="C82" s="4" t="s">
        <v>230</v>
      </c>
      <c r="D82" s="4" t="n">
        <v>5000</v>
      </c>
      <c r="E82" s="5" t="n">
        <v>0</v>
      </c>
      <c r="F82" s="5" t="n">
        <v>800000</v>
      </c>
      <c r="G82" s="11" t="str">
        <f aca="false">IFERROR(INDEX(Chart_of_Accounts!$B$4:$B$18,MATCH(D82,Chart_of_Accounts!$A$4:$A$18,0)),"INVALID CODE")</f>
        <v>Contractor and staff costs</v>
      </c>
      <c r="H82" s="11" t="str">
        <f aca="false">IFERROR(INDEX(Chart_of_Accounts!$C$4:$C$18,MATCH(D82,Chart_of_Accounts!$A$4:$A$18,0)),"")</f>
        <v>Expense</v>
      </c>
      <c r="I82" s="2" t="n">
        <f aca="false">MONTH(A82)</f>
        <v>12</v>
      </c>
      <c r="J82" s="12" t="n">
        <f aca="false">E82-F82</f>
        <v>-800000</v>
      </c>
      <c r="K82" s="12" t="n">
        <f aca="false">K81+J82</f>
        <v>2687000</v>
      </c>
    </row>
    <row r="83" customFormat="false" ht="15" hidden="false" customHeight="false" outlineLevel="0" collapsed="false">
      <c r="C83" s="3" t="s">
        <v>231</v>
      </c>
      <c r="E83" s="13" t="n">
        <f aca="false">SUM(E5:E82)</f>
        <v>18850000</v>
      </c>
      <c r="F83" s="13" t="n">
        <f aca="false">SUM(F5:F82)</f>
        <v>17663000</v>
      </c>
    </row>
    <row r="84" customFormat="false" ht="15" hidden="false" customHeight="false" outlineLevel="0" collapsed="false">
      <c r="C84" s="3" t="s">
        <v>232</v>
      </c>
      <c r="K84" s="14" t="n">
        <f aca="false">Settings!$B$6+E83-F83</f>
        <v>2687000</v>
      </c>
    </row>
  </sheetData>
  <dataValidations count="1">
    <dataValidation allowBlank="false" error="Choose a code from the Chart_of_Accounts." errorStyle="stop" errorTitle="Invalid account code" operator="between" showDropDown="false" showErrorMessage="true" showInputMessage="false" sqref="D5:D132" type="list">
      <formula1>Chart_of_Accounts!$A$4:$A$18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15" min="3" style="0" width="11"/>
  </cols>
  <sheetData>
    <row r="1" customFormat="false" ht="16.15" hidden="false" customHeight="false" outlineLevel="0" collapsed="false">
      <c r="A1" s="1" t="s">
        <v>233</v>
      </c>
    </row>
    <row r="3" customFormat="false" ht="15" hidden="false" customHeight="false" outlineLevel="0" collapsed="false">
      <c r="A3" s="8" t="s">
        <v>28</v>
      </c>
      <c r="B3" s="8" t="s">
        <v>234</v>
      </c>
      <c r="C3" s="8" t="s">
        <v>235</v>
      </c>
      <c r="D3" s="8" t="s">
        <v>236</v>
      </c>
      <c r="E3" s="8" t="s">
        <v>237</v>
      </c>
      <c r="F3" s="8" t="s">
        <v>238</v>
      </c>
      <c r="G3" s="8" t="s">
        <v>239</v>
      </c>
      <c r="H3" s="8" t="s">
        <v>240</v>
      </c>
      <c r="I3" s="8" t="s">
        <v>241</v>
      </c>
      <c r="J3" s="8" t="s">
        <v>242</v>
      </c>
      <c r="K3" s="8" t="s">
        <v>243</v>
      </c>
      <c r="L3" s="8" t="s">
        <v>244</v>
      </c>
      <c r="M3" s="8" t="s">
        <v>245</v>
      </c>
      <c r="N3" s="8" t="s">
        <v>246</v>
      </c>
      <c r="O3" s="8" t="s">
        <v>247</v>
      </c>
    </row>
    <row r="4" customFormat="false" ht="15" hidden="false" customHeight="false" outlineLevel="0" collapsed="false">
      <c r="A4" s="2" t="n">
        <v>4000</v>
      </c>
      <c r="B4" s="11" t="str">
        <f aca="false">INDEX(Chart_of_Accounts!$B$4:$B$18,MATCH(A4,Chart_of_Accounts!$A$4:$A$18,0))</f>
        <v>Software development services</v>
      </c>
      <c r="C4" s="5" t="n">
        <v>1500000</v>
      </c>
      <c r="D4" s="5" t="n">
        <v>0</v>
      </c>
      <c r="E4" s="5" t="n">
        <v>1500000</v>
      </c>
      <c r="F4" s="5" t="n">
        <v>0</v>
      </c>
      <c r="G4" s="5" t="n">
        <v>0</v>
      </c>
      <c r="H4" s="5" t="n">
        <v>2000000</v>
      </c>
      <c r="I4" s="5" t="n">
        <v>0</v>
      </c>
      <c r="J4" s="5" t="n">
        <v>2000000</v>
      </c>
      <c r="K4" s="5" t="n">
        <v>0</v>
      </c>
      <c r="L4" s="5" t="n">
        <v>1500000</v>
      </c>
      <c r="M4" s="5" t="n">
        <v>0</v>
      </c>
      <c r="N4" s="5" t="n">
        <v>0</v>
      </c>
      <c r="O4" s="14" t="n">
        <f aca="false">SUM(C4:N4)</f>
        <v>8500000</v>
      </c>
    </row>
    <row r="5" customFormat="false" ht="15" hidden="false" customHeight="false" outlineLevel="0" collapsed="false">
      <c r="A5" s="2" t="n">
        <v>4100</v>
      </c>
      <c r="B5" s="11" t="str">
        <f aca="false">INDEX(Chart_of_Accounts!$B$4:$B$18,MATCH(A5,Chart_of_Accounts!$A$4:$A$18,0))</f>
        <v>IT support and maintenance</v>
      </c>
      <c r="C5" s="5" t="n">
        <v>450000</v>
      </c>
      <c r="D5" s="5" t="n">
        <v>450000</v>
      </c>
      <c r="E5" s="5" t="n">
        <v>450000</v>
      </c>
      <c r="F5" s="5" t="n">
        <v>450000</v>
      </c>
      <c r="G5" s="5" t="n">
        <v>450000</v>
      </c>
      <c r="H5" s="5" t="n">
        <v>450000</v>
      </c>
      <c r="I5" s="5" t="n">
        <v>450000</v>
      </c>
      <c r="J5" s="5" t="n">
        <v>450000</v>
      </c>
      <c r="K5" s="5" t="n">
        <v>450000</v>
      </c>
      <c r="L5" s="5" t="n">
        <v>450000</v>
      </c>
      <c r="M5" s="5" t="n">
        <v>450000</v>
      </c>
      <c r="N5" s="5" t="n">
        <v>450000</v>
      </c>
      <c r="O5" s="14" t="n">
        <f aca="false">SUM(C5:N5)</f>
        <v>5400000</v>
      </c>
    </row>
    <row r="6" customFormat="false" ht="15" hidden="false" customHeight="false" outlineLevel="0" collapsed="false">
      <c r="A6" s="2" t="n">
        <v>4200</v>
      </c>
      <c r="B6" s="11" t="str">
        <f aca="false">INDEX(Chart_of_Accounts!$B$4:$B$18,MATCH(A6,Chart_of_Accounts!$A$4:$A$18,0))</f>
        <v>Training fees</v>
      </c>
      <c r="C6" s="5" t="n">
        <v>0</v>
      </c>
      <c r="D6" s="5" t="n">
        <v>0</v>
      </c>
      <c r="E6" s="5" t="n">
        <v>0</v>
      </c>
      <c r="F6" s="5" t="n">
        <v>900000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900000</v>
      </c>
      <c r="L6" s="5" t="n">
        <v>0</v>
      </c>
      <c r="M6" s="5" t="n">
        <v>0</v>
      </c>
      <c r="N6" s="5" t="n">
        <v>900000</v>
      </c>
      <c r="O6" s="14" t="n">
        <f aca="false">SUM(C6:N6)</f>
        <v>2700000</v>
      </c>
    </row>
    <row r="7" customFormat="false" ht="15" hidden="false" customHeight="false" outlineLevel="0" collapsed="false">
      <c r="A7" s="2" t="n">
        <v>5000</v>
      </c>
      <c r="B7" s="11" t="str">
        <f aca="false">INDEX(Chart_of_Accounts!$B$4:$B$18,MATCH(A7,Chart_of_Accounts!$A$4:$A$18,0))</f>
        <v>Contractor and staff costs</v>
      </c>
      <c r="C7" s="5" t="n">
        <v>700000</v>
      </c>
      <c r="D7" s="5" t="n">
        <v>700000</v>
      </c>
      <c r="E7" s="5" t="n">
        <v>700000</v>
      </c>
      <c r="F7" s="5" t="n">
        <v>700000</v>
      </c>
      <c r="G7" s="5" t="n">
        <v>700000</v>
      </c>
      <c r="H7" s="5" t="n">
        <v>700000</v>
      </c>
      <c r="I7" s="5" t="n">
        <v>850000</v>
      </c>
      <c r="J7" s="5" t="n">
        <v>850000</v>
      </c>
      <c r="K7" s="5" t="n">
        <v>850000</v>
      </c>
      <c r="L7" s="5" t="n">
        <v>850000</v>
      </c>
      <c r="M7" s="5" t="n">
        <v>850000</v>
      </c>
      <c r="N7" s="5" t="n">
        <v>850000</v>
      </c>
      <c r="O7" s="14" t="n">
        <f aca="false">SUM(C7:N7)</f>
        <v>9300000</v>
      </c>
    </row>
    <row r="8" customFormat="false" ht="15" hidden="false" customHeight="false" outlineLevel="0" collapsed="false">
      <c r="A8" s="2" t="n">
        <v>5100</v>
      </c>
      <c r="B8" s="11" t="str">
        <f aca="false">INDEX(Chart_of_Accounts!$B$4:$B$18,MATCH(A8,Chart_of_Accounts!$A$4:$A$18,0))</f>
        <v>Office rent</v>
      </c>
      <c r="C8" s="5" t="n">
        <v>350000</v>
      </c>
      <c r="D8" s="5" t="n">
        <v>350000</v>
      </c>
      <c r="E8" s="5" t="n">
        <v>350000</v>
      </c>
      <c r="F8" s="5" t="n">
        <v>350000</v>
      </c>
      <c r="G8" s="5" t="n">
        <v>350000</v>
      </c>
      <c r="H8" s="5" t="n">
        <v>350000</v>
      </c>
      <c r="I8" s="5" t="n">
        <v>350000</v>
      </c>
      <c r="J8" s="5" t="n">
        <v>350000</v>
      </c>
      <c r="K8" s="5" t="n">
        <v>350000</v>
      </c>
      <c r="L8" s="5" t="n">
        <v>350000</v>
      </c>
      <c r="M8" s="5" t="n">
        <v>350000</v>
      </c>
      <c r="N8" s="5" t="n">
        <v>350000</v>
      </c>
      <c r="O8" s="14" t="n">
        <f aca="false">SUM(C8:N8)</f>
        <v>4200000</v>
      </c>
    </row>
    <row r="9" customFormat="false" ht="15" hidden="false" customHeight="false" outlineLevel="0" collapsed="false">
      <c r="A9" s="2" t="n">
        <v>5200</v>
      </c>
      <c r="B9" s="11" t="str">
        <f aca="false">INDEX(Chart_of_Accounts!$B$4:$B$18,MATCH(A9,Chart_of_Accounts!$A$4:$A$18,0))</f>
        <v>Internet and communication</v>
      </c>
      <c r="C9" s="5" t="n">
        <v>60000</v>
      </c>
      <c r="D9" s="5" t="n">
        <v>60000</v>
      </c>
      <c r="E9" s="5" t="n">
        <v>60000</v>
      </c>
      <c r="F9" s="5" t="n">
        <v>60000</v>
      </c>
      <c r="G9" s="5" t="n">
        <v>60000</v>
      </c>
      <c r="H9" s="5" t="n">
        <v>60000</v>
      </c>
      <c r="I9" s="5" t="n">
        <v>60000</v>
      </c>
      <c r="J9" s="5" t="n">
        <v>60000</v>
      </c>
      <c r="K9" s="5" t="n">
        <v>60000</v>
      </c>
      <c r="L9" s="5" t="n">
        <v>60000</v>
      </c>
      <c r="M9" s="5" t="n">
        <v>60000</v>
      </c>
      <c r="N9" s="5" t="n">
        <v>60000</v>
      </c>
      <c r="O9" s="14" t="n">
        <f aca="false">SUM(C9:N9)</f>
        <v>720000</v>
      </c>
    </row>
    <row r="10" customFormat="false" ht="15" hidden="false" customHeight="false" outlineLevel="0" collapsed="false">
      <c r="A10" s="2" t="n">
        <v>5300</v>
      </c>
      <c r="B10" s="11" t="str">
        <f aca="false">INDEX(Chart_of_Accounts!$B$4:$B$18,MATCH(A10,Chart_of_Accounts!$A$4:$A$18,0))</f>
        <v>Electricity and water</v>
      </c>
      <c r="C10" s="5" t="n">
        <v>80000</v>
      </c>
      <c r="D10" s="5" t="n">
        <v>80000</v>
      </c>
      <c r="E10" s="5" t="n">
        <v>80000</v>
      </c>
      <c r="F10" s="5" t="n">
        <v>80000</v>
      </c>
      <c r="G10" s="5" t="n">
        <v>80000</v>
      </c>
      <c r="H10" s="5" t="n">
        <v>80000</v>
      </c>
      <c r="I10" s="5" t="n">
        <v>80000</v>
      </c>
      <c r="J10" s="5" t="n">
        <v>80000</v>
      </c>
      <c r="K10" s="5" t="n">
        <v>80000</v>
      </c>
      <c r="L10" s="5" t="n">
        <v>80000</v>
      </c>
      <c r="M10" s="5" t="n">
        <v>80000</v>
      </c>
      <c r="N10" s="5" t="n">
        <v>80000</v>
      </c>
      <c r="O10" s="14" t="n">
        <f aca="false">SUM(C10:N10)</f>
        <v>960000</v>
      </c>
    </row>
    <row r="11" customFormat="false" ht="15" hidden="false" customHeight="false" outlineLevel="0" collapsed="false">
      <c r="A11" s="2" t="n">
        <v>5400</v>
      </c>
      <c r="B11" s="11" t="str">
        <f aca="false">INDEX(Chart_of_Accounts!$B$4:$B$18,MATCH(A11,Chart_of_Accounts!$A$4:$A$18,0))</f>
        <v>Transport</v>
      </c>
      <c r="C11" s="5" t="n">
        <v>30000</v>
      </c>
      <c r="D11" s="5" t="n">
        <v>30000</v>
      </c>
      <c r="E11" s="5" t="n">
        <v>30000</v>
      </c>
      <c r="F11" s="5" t="n">
        <v>30000</v>
      </c>
      <c r="G11" s="5" t="n">
        <v>30000</v>
      </c>
      <c r="H11" s="5" t="n">
        <v>30000</v>
      </c>
      <c r="I11" s="5" t="n">
        <v>30000</v>
      </c>
      <c r="J11" s="5" t="n">
        <v>30000</v>
      </c>
      <c r="K11" s="5" t="n">
        <v>30000</v>
      </c>
      <c r="L11" s="5" t="n">
        <v>30000</v>
      </c>
      <c r="M11" s="5" t="n">
        <v>30000</v>
      </c>
      <c r="N11" s="5" t="n">
        <v>30000</v>
      </c>
      <c r="O11" s="14" t="n">
        <f aca="false">SUM(C11:N11)</f>
        <v>360000</v>
      </c>
    </row>
    <row r="12" customFormat="false" ht="15" hidden="false" customHeight="false" outlineLevel="0" collapsed="false">
      <c r="A12" s="2" t="n">
        <v>5500</v>
      </c>
      <c r="B12" s="11" t="str">
        <f aca="false">INDEX(Chart_of_Accounts!$B$4:$B$18,MATCH(A12,Chart_of_Accounts!$A$4:$A$18,0))</f>
        <v>Software subscriptions</v>
      </c>
      <c r="C12" s="5" t="n">
        <v>0</v>
      </c>
      <c r="D12" s="5" t="n">
        <v>120000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14" t="n">
        <f aca="false">SUM(C12:N12)</f>
        <v>120000</v>
      </c>
    </row>
    <row r="13" customFormat="false" ht="15" hidden="false" customHeight="false" outlineLevel="0" collapsed="false">
      <c r="A13" s="2" t="n">
        <v>5600</v>
      </c>
      <c r="B13" s="11" t="str">
        <f aca="false">INDEX(Chart_of_Accounts!$B$4:$B$18,MATCH(A13,Chart_of_Accounts!$A$4:$A$18,0))</f>
        <v>Bank charges</v>
      </c>
      <c r="C13" s="5" t="n">
        <v>4000</v>
      </c>
      <c r="D13" s="5" t="n">
        <v>4000</v>
      </c>
      <c r="E13" s="5" t="n">
        <v>4000</v>
      </c>
      <c r="F13" s="5" t="n">
        <v>4000</v>
      </c>
      <c r="G13" s="5" t="n">
        <v>4000</v>
      </c>
      <c r="H13" s="5" t="n">
        <v>4000</v>
      </c>
      <c r="I13" s="5" t="n">
        <v>4000</v>
      </c>
      <c r="J13" s="5" t="n">
        <v>4000</v>
      </c>
      <c r="K13" s="5" t="n">
        <v>4000</v>
      </c>
      <c r="L13" s="5" t="n">
        <v>4000</v>
      </c>
      <c r="M13" s="5" t="n">
        <v>4000</v>
      </c>
      <c r="N13" s="5" t="n">
        <v>4000</v>
      </c>
      <c r="O13" s="14" t="n">
        <f aca="false">SUM(C13:N13)</f>
        <v>48000</v>
      </c>
    </row>
    <row r="14" customFormat="false" ht="15" hidden="false" customHeight="false" outlineLevel="0" collapsed="false">
      <c r="A14" s="2" t="n">
        <v>5700</v>
      </c>
      <c r="B14" s="11" t="str">
        <f aca="false">INDEX(Chart_of_Accounts!$B$4:$B$18,MATCH(A14,Chart_of_Accounts!$A$4:$A$18,0))</f>
        <v>Marketing</v>
      </c>
      <c r="C14" s="5" t="n">
        <v>0</v>
      </c>
      <c r="D14" s="5" t="n">
        <v>0</v>
      </c>
      <c r="E14" s="5" t="n">
        <v>0</v>
      </c>
      <c r="F14" s="5" t="n">
        <v>0</v>
      </c>
      <c r="G14" s="5" t="n">
        <v>150000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150000</v>
      </c>
      <c r="M14" s="5" t="n">
        <v>0</v>
      </c>
      <c r="N14" s="5" t="n">
        <v>0</v>
      </c>
      <c r="O14" s="14" t="n">
        <f aca="false">SUM(C14:N14)</f>
        <v>300000</v>
      </c>
    </row>
    <row r="15" customFormat="false" ht="15" hidden="false" customHeight="false" outlineLevel="0" collapsed="false">
      <c r="A15" s="2" t="n">
        <v>5800</v>
      </c>
      <c r="B15" s="11" t="str">
        <f aca="false">INDEX(Chart_of_Accounts!$B$4:$B$18,MATCH(A15,Chart_of_Accounts!$A$4:$A$18,0))</f>
        <v>Taxes, licences and RRA fees</v>
      </c>
      <c r="C15" s="5" t="n">
        <v>0</v>
      </c>
      <c r="D15" s="5" t="n">
        <v>0</v>
      </c>
      <c r="E15" s="5" t="n">
        <v>200000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14" t="n">
        <f aca="false">SUM(C15:N15)</f>
        <v>200000</v>
      </c>
    </row>
    <row r="17" customFormat="false" ht="15" hidden="false" customHeight="false" outlineLevel="0" collapsed="false">
      <c r="A17" s="7" t="s">
        <v>248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3" min="3" style="0" width="9"/>
    <col collapsed="false" customWidth="true" hidden="false" outlineLevel="0" max="6" min="4" style="0" width="14"/>
    <col collapsed="false" customWidth="true" hidden="false" outlineLevel="0" max="7" min="7" style="0" width="11"/>
    <col collapsed="false" customWidth="true" hidden="false" outlineLevel="0" max="8" min="8" style="0" width="15"/>
  </cols>
  <sheetData>
    <row r="1" customFormat="false" ht="16.15" hidden="false" customHeight="false" outlineLevel="0" collapsed="false">
      <c r="A1" s="1" t="s">
        <v>249</v>
      </c>
    </row>
    <row r="2" customFormat="false" ht="15" hidden="false" customHeight="false" outlineLevel="0" collapsed="false">
      <c r="A2" s="3" t="str">
        <f aca="false">"Months 1 to "&amp;Settings!$B$5&amp;" of "&amp;Settings!$B$4</f>
        <v>Months 1 to 12 of 2025</v>
      </c>
    </row>
    <row r="4" customFormat="false" ht="23.85" hidden="false" customHeight="false" outlineLevel="0" collapsed="false">
      <c r="A4" s="8" t="s">
        <v>28</v>
      </c>
      <c r="B4" s="8" t="s">
        <v>234</v>
      </c>
      <c r="C4" s="8" t="s">
        <v>30</v>
      </c>
      <c r="D4" s="8" t="s">
        <v>250</v>
      </c>
      <c r="E4" s="8" t="s">
        <v>251</v>
      </c>
      <c r="F4" s="8" t="s">
        <v>252</v>
      </c>
      <c r="G4" s="8" t="s">
        <v>253</v>
      </c>
      <c r="H4" s="8" t="s">
        <v>254</v>
      </c>
    </row>
    <row r="5" customFormat="false" ht="15" hidden="false" customHeight="false" outlineLevel="0" collapsed="false">
      <c r="A5" s="11" t="n">
        <f aca="false">Budget!A4</f>
        <v>4000</v>
      </c>
      <c r="B5" s="11" t="str">
        <f aca="false">Budget!B4</f>
        <v>Software development services</v>
      </c>
      <c r="C5" s="11" t="str">
        <f aca="false">INDEX(Chart_of_Accounts!$C$4:$C$18,MATCH(A5,Chart_of_Accounts!$A$4:$A$18,0))</f>
        <v>Income</v>
      </c>
      <c r="D5" s="12" t="n">
        <f aca="false">SUMPRODUCT((COLUMN(Budget!$C4:$N4)-COLUMN(Budget!$C4)+1&lt;=Settings!$B$5)*Budget!$C4:$N4)</f>
        <v>8500000</v>
      </c>
      <c r="E5" s="12" t="n">
        <f aca="false">SUMIFS(Cash_Book!$E$5:$E$82,Cash_Book!$D$5:$D$82,A5,Cash_Book!$I$5:$I$82,"&lt;="&amp;Settings!$B$5)+SUMIFS(Cash_Book!$F$5:$F$82,Cash_Book!$D$5:$D$82,A5,Cash_Book!$I$5:$I$82,"&lt;="&amp;Settings!$B$5)</f>
        <v>9300000</v>
      </c>
      <c r="F5" s="12" t="n">
        <f aca="false">IF(C5="Income",E5-D5,D5-E5)</f>
        <v>800000</v>
      </c>
      <c r="G5" s="15" t="n">
        <f aca="false">IF(D5=0,0,F5/D5)</f>
        <v>0.0941176470588235</v>
      </c>
      <c r="H5" s="2" t="str">
        <f aca="false">IF(ABS(G5)&gt;Settings!$B$9,"Yes","No")</f>
        <v>No</v>
      </c>
    </row>
    <row r="6" customFormat="false" ht="15" hidden="false" customHeight="false" outlineLevel="0" collapsed="false">
      <c r="A6" s="11" t="n">
        <f aca="false">Budget!A5</f>
        <v>4100</v>
      </c>
      <c r="B6" s="11" t="str">
        <f aca="false">Budget!B5</f>
        <v>IT support and maintenance</v>
      </c>
      <c r="C6" s="11" t="str">
        <f aca="false">INDEX(Chart_of_Accounts!$C$4:$C$18,MATCH(A6,Chart_of_Accounts!$A$4:$A$18,0))</f>
        <v>Income</v>
      </c>
      <c r="D6" s="12" t="n">
        <f aca="false">SUMPRODUCT((COLUMN(Budget!$C5:$N5)-COLUMN(Budget!$C5)+1&lt;=Settings!$B$5)*Budget!$C5:$N5)</f>
        <v>5400000</v>
      </c>
      <c r="E6" s="12" t="n">
        <f aca="false">SUMIFS(Cash_Book!$E$5:$E$82,Cash_Book!$D$5:$D$82,A6,Cash_Book!$I$5:$I$82,"&lt;="&amp;Settings!$B$5)+SUMIFS(Cash_Book!$F$5:$F$82,Cash_Book!$D$5:$D$82,A6,Cash_Book!$I$5:$I$82,"&lt;="&amp;Settings!$B$5)</f>
        <v>6000000</v>
      </c>
      <c r="F6" s="12" t="n">
        <f aca="false">IF(C6="Income",E6-D6,D6-E6)</f>
        <v>600000</v>
      </c>
      <c r="G6" s="15" t="n">
        <f aca="false">IF(D6=0,0,F6/D6)</f>
        <v>0.111111111111111</v>
      </c>
      <c r="H6" s="2" t="str">
        <f aca="false">IF(ABS(G6)&gt;Settings!$B$9,"Yes","No")</f>
        <v>Yes</v>
      </c>
    </row>
    <row r="7" customFormat="false" ht="15" hidden="false" customHeight="false" outlineLevel="0" collapsed="false">
      <c r="A7" s="11" t="n">
        <f aca="false">Budget!A6</f>
        <v>4200</v>
      </c>
      <c r="B7" s="11" t="str">
        <f aca="false">Budget!B6</f>
        <v>Training fees</v>
      </c>
      <c r="C7" s="11" t="str">
        <f aca="false">INDEX(Chart_of_Accounts!$C$4:$C$18,MATCH(A7,Chart_of_Accounts!$A$4:$A$18,0))</f>
        <v>Income</v>
      </c>
      <c r="D7" s="12" t="n">
        <f aca="false">SUMPRODUCT((COLUMN(Budget!$C6:$N6)-COLUMN(Budget!$C6)+1&lt;=Settings!$B$5)*Budget!$C6:$N6)</f>
        <v>2700000</v>
      </c>
      <c r="E7" s="12" t="n">
        <f aca="false">SUMIFS(Cash_Book!$E$5:$E$82,Cash_Book!$D$5:$D$82,A7,Cash_Book!$I$5:$I$82,"&lt;="&amp;Settings!$B$5)+SUMIFS(Cash_Book!$F$5:$F$82,Cash_Book!$D$5:$D$82,A7,Cash_Book!$I$5:$I$82,"&lt;="&amp;Settings!$B$5)</f>
        <v>3050000</v>
      </c>
      <c r="F7" s="12" t="n">
        <f aca="false">IF(C7="Income",E7-D7,D7-E7)</f>
        <v>350000</v>
      </c>
      <c r="G7" s="15" t="n">
        <f aca="false">IF(D7=0,0,F7/D7)</f>
        <v>0.12962962962963</v>
      </c>
      <c r="H7" s="2" t="str">
        <f aca="false">IF(ABS(G7)&gt;Settings!$B$9,"Yes","No")</f>
        <v>Yes</v>
      </c>
    </row>
    <row r="8" customFormat="false" ht="15" hidden="false" customHeight="false" outlineLevel="0" collapsed="false">
      <c r="A8" s="11" t="n">
        <f aca="false">Budget!A7</f>
        <v>5000</v>
      </c>
      <c r="B8" s="11" t="str">
        <f aca="false">Budget!B7</f>
        <v>Contractor and staff costs</v>
      </c>
      <c r="C8" s="11" t="str">
        <f aca="false">INDEX(Chart_of_Accounts!$C$4:$C$18,MATCH(A8,Chart_of_Accounts!$A$4:$A$18,0))</f>
        <v>Expense</v>
      </c>
      <c r="D8" s="12" t="n">
        <f aca="false">SUMPRODUCT((COLUMN(Budget!$C7:$N7)-COLUMN(Budget!$C7)+1&lt;=Settings!$B$5)*Budget!$C7:$N7)</f>
        <v>9300000</v>
      </c>
      <c r="E8" s="12" t="n">
        <f aca="false">SUMIFS(Cash_Book!$E$5:$E$82,Cash_Book!$D$5:$D$82,A8,Cash_Book!$I$5:$I$82,"&lt;="&amp;Settings!$B$5)+SUMIFS(Cash_Book!$F$5:$F$82,Cash_Book!$D$5:$D$82,A8,Cash_Book!$I$5:$I$82,"&lt;="&amp;Settings!$B$5)</f>
        <v>9500000</v>
      </c>
      <c r="F8" s="12" t="n">
        <f aca="false">IF(C8="Income",E8-D8,D8-E8)</f>
        <v>-200000</v>
      </c>
      <c r="G8" s="15" t="n">
        <f aca="false">IF(D8=0,0,F8/D8)</f>
        <v>-0.021505376344086</v>
      </c>
      <c r="H8" s="2" t="str">
        <f aca="false">IF(ABS(G8)&gt;Settings!$B$9,"Yes","No")</f>
        <v>No</v>
      </c>
    </row>
    <row r="9" customFormat="false" ht="15" hidden="false" customHeight="false" outlineLevel="0" collapsed="false">
      <c r="A9" s="11" t="n">
        <f aca="false">Budget!A8</f>
        <v>5100</v>
      </c>
      <c r="B9" s="11" t="str">
        <f aca="false">Budget!B8</f>
        <v>Office rent</v>
      </c>
      <c r="C9" s="11" t="str">
        <f aca="false">INDEX(Chart_of_Accounts!$C$4:$C$18,MATCH(A9,Chart_of_Accounts!$A$4:$A$18,0))</f>
        <v>Expense</v>
      </c>
      <c r="D9" s="12" t="n">
        <f aca="false">SUMPRODUCT((COLUMN(Budget!$C8:$N8)-COLUMN(Budget!$C8)+1&lt;=Settings!$B$5)*Budget!$C8:$N8)</f>
        <v>4200000</v>
      </c>
      <c r="E9" s="12" t="n">
        <f aca="false">SUMIFS(Cash_Book!$E$5:$E$82,Cash_Book!$D$5:$D$82,A9,Cash_Book!$I$5:$I$82,"&lt;="&amp;Settings!$B$5)+SUMIFS(Cash_Book!$F$5:$F$82,Cash_Book!$D$5:$D$82,A9,Cash_Book!$I$5:$I$82,"&lt;="&amp;Settings!$B$5)</f>
        <v>4200000</v>
      </c>
      <c r="F9" s="12" t="n">
        <f aca="false">IF(C9="Income",E9-D9,D9-E9)</f>
        <v>0</v>
      </c>
      <c r="G9" s="15" t="n">
        <f aca="false">IF(D9=0,0,F9/D9)</f>
        <v>0</v>
      </c>
      <c r="H9" s="2" t="str">
        <f aca="false">IF(ABS(G9)&gt;Settings!$B$9,"Yes","No")</f>
        <v>No</v>
      </c>
    </row>
    <row r="10" customFormat="false" ht="15" hidden="false" customHeight="false" outlineLevel="0" collapsed="false">
      <c r="A10" s="11" t="n">
        <f aca="false">Budget!A9</f>
        <v>5200</v>
      </c>
      <c r="B10" s="11" t="str">
        <f aca="false">Budget!B9</f>
        <v>Internet and communication</v>
      </c>
      <c r="C10" s="11" t="str">
        <f aca="false">INDEX(Chart_of_Accounts!$C$4:$C$18,MATCH(A10,Chart_of_Accounts!$A$4:$A$18,0))</f>
        <v>Expense</v>
      </c>
      <c r="D10" s="12" t="n">
        <f aca="false">SUMPRODUCT((COLUMN(Budget!$C9:$N9)-COLUMN(Budget!$C9)+1&lt;=Settings!$B$5)*Budget!$C9:$N9)</f>
        <v>720000</v>
      </c>
      <c r="E10" s="12" t="n">
        <f aca="false">SUMIFS(Cash_Book!$E$5:$E$82,Cash_Book!$D$5:$D$82,A10,Cash_Book!$I$5:$I$82,"&lt;="&amp;Settings!$B$5)+SUMIFS(Cash_Book!$F$5:$F$82,Cash_Book!$D$5:$D$82,A10,Cash_Book!$I$5:$I$82,"&lt;="&amp;Settings!$B$5)</f>
        <v>720000</v>
      </c>
      <c r="F10" s="12" t="n">
        <f aca="false">IF(C10="Income",E10-D10,D10-E10)</f>
        <v>0</v>
      </c>
      <c r="G10" s="15" t="n">
        <f aca="false">IF(D10=0,0,F10/D10)</f>
        <v>0</v>
      </c>
      <c r="H10" s="2" t="str">
        <f aca="false">IF(ABS(G10)&gt;Settings!$B$9,"Yes","No")</f>
        <v>No</v>
      </c>
    </row>
    <row r="11" customFormat="false" ht="15" hidden="false" customHeight="false" outlineLevel="0" collapsed="false">
      <c r="A11" s="11" t="n">
        <f aca="false">Budget!A10</f>
        <v>5300</v>
      </c>
      <c r="B11" s="11" t="str">
        <f aca="false">Budget!B10</f>
        <v>Electricity and water</v>
      </c>
      <c r="C11" s="11" t="str">
        <f aca="false">INDEX(Chart_of_Accounts!$C$4:$C$18,MATCH(A11,Chart_of_Accounts!$A$4:$A$18,0))</f>
        <v>Expense</v>
      </c>
      <c r="D11" s="12" t="n">
        <f aca="false">SUMPRODUCT((COLUMN(Budget!$C10:$N10)-COLUMN(Budget!$C10)+1&lt;=Settings!$B$5)*Budget!$C10:$N10)</f>
        <v>960000</v>
      </c>
      <c r="E11" s="12" t="n">
        <f aca="false">SUMIFS(Cash_Book!$E$5:$E$82,Cash_Book!$D$5:$D$82,A11,Cash_Book!$I$5:$I$82,"&lt;="&amp;Settings!$B$5)+SUMIFS(Cash_Book!$F$5:$F$82,Cash_Book!$D$5:$D$82,A11,Cash_Book!$I$5:$I$82,"&lt;="&amp;Settings!$B$5)</f>
        <v>1020000</v>
      </c>
      <c r="F11" s="12" t="n">
        <f aca="false">IF(C11="Income",E11-D11,D11-E11)</f>
        <v>-60000</v>
      </c>
      <c r="G11" s="15" t="n">
        <f aca="false">IF(D11=0,0,F11/D11)</f>
        <v>-0.0625</v>
      </c>
      <c r="H11" s="2" t="str">
        <f aca="false">IF(ABS(G11)&gt;Settings!$B$9,"Yes","No")</f>
        <v>No</v>
      </c>
    </row>
    <row r="12" customFormat="false" ht="15" hidden="false" customHeight="false" outlineLevel="0" collapsed="false">
      <c r="A12" s="11" t="n">
        <f aca="false">Budget!A11</f>
        <v>5400</v>
      </c>
      <c r="B12" s="11" t="str">
        <f aca="false">Budget!B11</f>
        <v>Transport</v>
      </c>
      <c r="C12" s="11" t="str">
        <f aca="false">INDEX(Chart_of_Accounts!$C$4:$C$18,MATCH(A12,Chart_of_Accounts!$A$4:$A$18,0))</f>
        <v>Expense</v>
      </c>
      <c r="D12" s="12" t="n">
        <f aca="false">SUMPRODUCT((COLUMN(Budget!$C11:$N11)-COLUMN(Budget!$C11)+1&lt;=Settings!$B$5)*Budget!$C11:$N11)</f>
        <v>360000</v>
      </c>
      <c r="E12" s="12" t="n">
        <f aca="false">SUMIFS(Cash_Book!$E$5:$E$82,Cash_Book!$D$5:$D$82,A12,Cash_Book!$I$5:$I$82,"&lt;="&amp;Settings!$B$5)+SUMIFS(Cash_Book!$F$5:$F$82,Cash_Book!$D$5:$D$82,A12,Cash_Book!$I$5:$I$82,"&lt;="&amp;Settings!$B$5)</f>
        <v>95000</v>
      </c>
      <c r="F12" s="12" t="n">
        <f aca="false">IF(C12="Income",E12-D12,D12-E12)</f>
        <v>265000</v>
      </c>
      <c r="G12" s="15" t="n">
        <f aca="false">IF(D12=0,0,F12/D12)</f>
        <v>0.736111111111111</v>
      </c>
      <c r="H12" s="2" t="str">
        <f aca="false">IF(ABS(G12)&gt;Settings!$B$9,"Yes","No")</f>
        <v>Yes</v>
      </c>
    </row>
    <row r="13" customFormat="false" ht="15" hidden="false" customHeight="false" outlineLevel="0" collapsed="false">
      <c r="A13" s="11" t="n">
        <f aca="false">Budget!A12</f>
        <v>5500</v>
      </c>
      <c r="B13" s="11" t="str">
        <f aca="false">Budget!B12</f>
        <v>Software subscriptions</v>
      </c>
      <c r="C13" s="11" t="str">
        <f aca="false">INDEX(Chart_of_Accounts!$C$4:$C$18,MATCH(A13,Chart_of_Accounts!$A$4:$A$18,0))</f>
        <v>Expense</v>
      </c>
      <c r="D13" s="12" t="n">
        <f aca="false">SUMPRODUCT((COLUMN(Budget!$C12:$N12)-COLUMN(Budget!$C12)+1&lt;=Settings!$B$5)*Budget!$C12:$N12)</f>
        <v>120000</v>
      </c>
      <c r="E13" s="12" t="n">
        <f aca="false">SUMIFS(Cash_Book!$E$5:$E$82,Cash_Book!$D$5:$D$82,A13,Cash_Book!$I$5:$I$82,"&lt;="&amp;Settings!$B$5)+SUMIFS(Cash_Book!$F$5:$F$82,Cash_Book!$D$5:$D$82,A13,Cash_Book!$I$5:$I$82,"&lt;="&amp;Settings!$B$5)</f>
        <v>120000</v>
      </c>
      <c r="F13" s="12" t="n">
        <f aca="false">IF(C13="Income",E13-D13,D13-E13)</f>
        <v>0</v>
      </c>
      <c r="G13" s="15" t="n">
        <f aca="false">IF(D13=0,0,F13/D13)</f>
        <v>0</v>
      </c>
      <c r="H13" s="2" t="str">
        <f aca="false">IF(ABS(G13)&gt;Settings!$B$9,"Yes","No")</f>
        <v>No</v>
      </c>
    </row>
    <row r="14" customFormat="false" ht="15" hidden="false" customHeight="false" outlineLevel="0" collapsed="false">
      <c r="A14" s="11" t="n">
        <f aca="false">Budget!A13</f>
        <v>5600</v>
      </c>
      <c r="B14" s="11" t="str">
        <f aca="false">Budget!B13</f>
        <v>Bank charges</v>
      </c>
      <c r="C14" s="11" t="str">
        <f aca="false">INDEX(Chart_of_Accounts!$C$4:$C$18,MATCH(A14,Chart_of_Accounts!$A$4:$A$18,0))</f>
        <v>Expense</v>
      </c>
      <c r="D14" s="12" t="n">
        <f aca="false">SUMPRODUCT((COLUMN(Budget!$C13:$N13)-COLUMN(Budget!$C13)+1&lt;=Settings!$B$5)*Budget!$C13:$N13)</f>
        <v>48000</v>
      </c>
      <c r="E14" s="12" t="n">
        <f aca="false">SUMIFS(Cash_Book!$E$5:$E$82,Cash_Book!$D$5:$D$82,A14,Cash_Book!$I$5:$I$82,"&lt;="&amp;Settings!$B$5)+SUMIFS(Cash_Book!$F$5:$F$82,Cash_Book!$D$5:$D$82,A14,Cash_Book!$I$5:$I$82,"&lt;="&amp;Settings!$B$5)</f>
        <v>48000</v>
      </c>
      <c r="F14" s="12" t="n">
        <f aca="false">IF(C14="Income",E14-D14,D14-E14)</f>
        <v>0</v>
      </c>
      <c r="G14" s="15" t="n">
        <f aca="false">IF(D14=0,0,F14/D14)</f>
        <v>0</v>
      </c>
      <c r="H14" s="2" t="str">
        <f aca="false">IF(ABS(G14)&gt;Settings!$B$9,"Yes","No")</f>
        <v>No</v>
      </c>
    </row>
    <row r="15" customFormat="false" ht="15" hidden="false" customHeight="false" outlineLevel="0" collapsed="false">
      <c r="A15" s="11" t="n">
        <f aca="false">Budget!A14</f>
        <v>5700</v>
      </c>
      <c r="B15" s="11" t="str">
        <f aca="false">Budget!B14</f>
        <v>Marketing</v>
      </c>
      <c r="C15" s="11" t="str">
        <f aca="false">INDEX(Chart_of_Accounts!$C$4:$C$18,MATCH(A15,Chart_of_Accounts!$A$4:$A$18,0))</f>
        <v>Expense</v>
      </c>
      <c r="D15" s="12" t="n">
        <f aca="false">SUMPRODUCT((COLUMN(Budget!$C14:$N14)-COLUMN(Budget!$C14)+1&lt;=Settings!$B$5)*Budget!$C14:$N14)</f>
        <v>300000</v>
      </c>
      <c r="E15" s="12" t="n">
        <f aca="false">SUMIFS(Cash_Book!$E$5:$E$82,Cash_Book!$D$5:$D$82,A15,Cash_Book!$I$5:$I$82,"&lt;="&amp;Settings!$B$5)+SUMIFS(Cash_Book!$F$5:$F$82,Cash_Book!$D$5:$D$82,A15,Cash_Book!$I$5:$I$82,"&lt;="&amp;Settings!$B$5)</f>
        <v>150000</v>
      </c>
      <c r="F15" s="12" t="n">
        <f aca="false">IF(C15="Income",E15-D15,D15-E15)</f>
        <v>150000</v>
      </c>
      <c r="G15" s="15" t="n">
        <f aca="false">IF(D15=0,0,F15/D15)</f>
        <v>0.5</v>
      </c>
      <c r="H15" s="2" t="str">
        <f aca="false">IF(ABS(G15)&gt;Settings!$B$9,"Yes","No")</f>
        <v>Yes</v>
      </c>
    </row>
    <row r="16" customFormat="false" ht="15" hidden="false" customHeight="false" outlineLevel="0" collapsed="false">
      <c r="A16" s="11" t="n">
        <f aca="false">Budget!A15</f>
        <v>5800</v>
      </c>
      <c r="B16" s="11" t="str">
        <f aca="false">Budget!B15</f>
        <v>Taxes, licences and RRA fees</v>
      </c>
      <c r="C16" s="11" t="str">
        <f aca="false">INDEX(Chart_of_Accounts!$C$4:$C$18,MATCH(A16,Chart_of_Accounts!$A$4:$A$18,0))</f>
        <v>Expense</v>
      </c>
      <c r="D16" s="12" t="n">
        <f aca="false">SUMPRODUCT((COLUMN(Budget!$C15:$N15)-COLUMN(Budget!$C15)+1&lt;=Settings!$B$5)*Budget!$C15:$N15)</f>
        <v>200000</v>
      </c>
      <c r="E16" s="12" t="n">
        <f aca="false">SUMIFS(Cash_Book!$E$5:$E$82,Cash_Book!$D$5:$D$82,A16,Cash_Book!$I$5:$I$82,"&lt;="&amp;Settings!$B$5)+SUMIFS(Cash_Book!$F$5:$F$82,Cash_Book!$D$5:$D$82,A16,Cash_Book!$I$5:$I$82,"&lt;="&amp;Settings!$B$5)</f>
        <v>180000</v>
      </c>
      <c r="F16" s="12" t="n">
        <f aca="false">IF(C16="Income",E16-D16,D16-E16)</f>
        <v>20000</v>
      </c>
      <c r="G16" s="15" t="n">
        <f aca="false">IF(D16=0,0,F16/D16)</f>
        <v>0.1</v>
      </c>
      <c r="H16" s="2" t="str">
        <f aca="false">IF(ABS(G16)&gt;Settings!$B$9,"Yes","No")</f>
        <v>No</v>
      </c>
    </row>
    <row r="18" customFormat="false" ht="15" hidden="false" customHeight="false" outlineLevel="0" collapsed="false">
      <c r="B18" s="3" t="s">
        <v>255</v>
      </c>
      <c r="D18" s="14" t="n">
        <f aca="false">SUMIFS(D5:D16,$C$5:$C$16,"Income")</f>
        <v>16600000</v>
      </c>
      <c r="E18" s="14" t="n">
        <f aca="false">SUMIFS(E5:E16,$C$5:$C$16,"Income")</f>
        <v>18350000</v>
      </c>
    </row>
    <row r="19" customFormat="false" ht="15" hidden="false" customHeight="false" outlineLevel="0" collapsed="false">
      <c r="B19" s="3" t="s">
        <v>256</v>
      </c>
      <c r="D19" s="14" t="n">
        <f aca="false">SUMIFS(D5:D16,$C$5:$C$16,"Expense")</f>
        <v>16208000</v>
      </c>
      <c r="E19" s="14" t="n">
        <f aca="false">SUMIFS(E5:E16,$C$5:$C$16,"Expense")</f>
        <v>16033000</v>
      </c>
    </row>
    <row r="20" customFormat="false" ht="15" hidden="false" customHeight="false" outlineLevel="0" collapsed="false">
      <c r="B20" s="3" t="s">
        <v>257</v>
      </c>
      <c r="D20" s="13" t="n">
        <f aca="false">D18-D19</f>
        <v>392000</v>
      </c>
      <c r="E20" s="13" t="n">
        <f aca="false">E18-E19</f>
        <v>2317000</v>
      </c>
    </row>
    <row r="22" customFormat="false" ht="15" hidden="false" customHeight="false" outlineLevel="0" collapsed="false">
      <c r="A22" s="7" t="s">
        <v>258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</cols>
  <sheetData>
    <row r="1" customFormat="false" ht="16.15" hidden="false" customHeight="false" outlineLevel="0" collapsed="false">
      <c r="A1" s="1" t="str">
        <f aca="false">Settings!$B$3</f>
        <v>Example Tech Ltd (fictional)</v>
      </c>
    </row>
    <row r="2" customFormat="false" ht="15" hidden="false" customHeight="false" outlineLevel="0" collapsed="false">
      <c r="A2" s="3" t="str">
        <f aca="false">"Income statement for the year ended 31 December "&amp;Settings!$B$4</f>
        <v>Income statement for the year ended 31 December 2025</v>
      </c>
    </row>
    <row r="3" customFormat="false" ht="15" hidden="false" customHeight="false" outlineLevel="0" collapsed="false">
      <c r="A3" s="7" t="s">
        <v>259</v>
      </c>
    </row>
    <row r="5" customFormat="false" ht="15" hidden="false" customHeight="false" outlineLevel="0" collapsed="false">
      <c r="A5" s="3" t="s">
        <v>44</v>
      </c>
    </row>
    <row r="6" customFormat="false" ht="15" hidden="false" customHeight="false" outlineLevel="0" collapsed="false">
      <c r="A6" s="0" t="s">
        <v>260</v>
      </c>
      <c r="B6" s="16" t="n">
        <f aca="false">SUMPRODUCT((COUNTIFS(Chart_of_Accounts!$A$4:$A$18,Cash_Book!$D$5:$D$82,Chart_of_Accounts!$C$4:$C$18,"Income")&gt;0)*Cash_Book!$E$5:$E$82)</f>
        <v>18350000</v>
      </c>
    </row>
    <row r="8" customFormat="false" ht="15" hidden="false" customHeight="false" outlineLevel="0" collapsed="false">
      <c r="A8" s="3" t="s">
        <v>261</v>
      </c>
    </row>
    <row r="9" customFormat="false" ht="15" hidden="false" customHeight="false" outlineLevel="0" collapsed="false">
      <c r="A9" s="2" t="s">
        <v>50</v>
      </c>
      <c r="B9" s="12" t="n">
        <f aca="false">SUMPRODUCT((COUNTIFS(Chart_of_Accounts!$A$4:$A$18,Cash_Book!$D$5:$D$82,Chart_of_Accounts!$D$4:$D$18,A9,Chart_of_Accounts!$C$4:$C$18,"Expense")&gt;0)*Cash_Book!$F$5:$F$82)</f>
        <v>9500000</v>
      </c>
    </row>
    <row r="10" customFormat="false" ht="15" hidden="false" customHeight="false" outlineLevel="0" collapsed="false">
      <c r="A10" s="2" t="s">
        <v>52</v>
      </c>
      <c r="B10" s="12" t="n">
        <f aca="false">SUMPRODUCT((COUNTIFS(Chart_of_Accounts!$A$4:$A$18,Cash_Book!$D$5:$D$82,Chart_of_Accounts!$D$4:$D$18,A10,Chart_of_Accounts!$C$4:$C$18,"Expense")&gt;0)*Cash_Book!$F$5:$F$82)</f>
        <v>5220000</v>
      </c>
    </row>
    <row r="11" customFormat="false" ht="15" hidden="false" customHeight="false" outlineLevel="0" collapsed="false">
      <c r="A11" s="2" t="s">
        <v>54</v>
      </c>
      <c r="B11" s="12" t="n">
        <f aca="false">SUMPRODUCT((COUNTIFS(Chart_of_Accounts!$A$4:$A$18,Cash_Book!$D$5:$D$82,Chart_of_Accounts!$D$4:$D$18,A11,Chart_of_Accounts!$C$4:$C$18,"Expense")&gt;0)*Cash_Book!$F$5:$F$82)</f>
        <v>1085000</v>
      </c>
    </row>
    <row r="12" customFormat="false" ht="15" hidden="false" customHeight="false" outlineLevel="0" collapsed="false">
      <c r="A12" s="2" t="s">
        <v>59</v>
      </c>
      <c r="B12" s="12" t="n">
        <f aca="false">SUMPRODUCT((COUNTIFS(Chart_of_Accounts!$A$4:$A$18,Cash_Book!$D$5:$D$82,Chart_of_Accounts!$D$4:$D$18,A12,Chart_of_Accounts!$C$4:$C$18,"Expense")&gt;0)*Cash_Book!$F$5:$F$82)</f>
        <v>48000</v>
      </c>
    </row>
    <row r="13" customFormat="false" ht="15" hidden="false" customHeight="false" outlineLevel="0" collapsed="false">
      <c r="A13" s="2" t="s">
        <v>62</v>
      </c>
      <c r="B13" s="12" t="n">
        <f aca="false">SUMPRODUCT((COUNTIFS(Chart_of_Accounts!$A$4:$A$18,Cash_Book!$D$5:$D$82,Chart_of_Accounts!$D$4:$D$18,A13,Chart_of_Accounts!$C$4:$C$18,"Expense")&gt;0)*Cash_Book!$F$5:$F$82)</f>
        <v>180000</v>
      </c>
    </row>
    <row r="14" customFormat="false" ht="15" hidden="false" customHeight="false" outlineLevel="0" collapsed="false">
      <c r="A14" s="3" t="s">
        <v>256</v>
      </c>
      <c r="B14" s="13" t="n">
        <f aca="false">SUM(B9:B13)</f>
        <v>16033000</v>
      </c>
    </row>
    <row r="16" customFormat="false" ht="15" hidden="false" customHeight="false" outlineLevel="0" collapsed="false">
      <c r="A16" s="3" t="s">
        <v>262</v>
      </c>
      <c r="B16" s="13" t="n">
        <f aca="false">B6-B14</f>
        <v>2317000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</cols>
  <sheetData>
    <row r="1" customFormat="false" ht="16.15" hidden="false" customHeight="false" outlineLevel="0" collapsed="false">
      <c r="A1" s="1" t="str">
        <f aca="false">Settings!$B$3</f>
        <v>Example Tech Ltd (fictional)</v>
      </c>
    </row>
    <row r="2" customFormat="false" ht="15" hidden="false" customHeight="false" outlineLevel="0" collapsed="false">
      <c r="A2" s="3" t="str">
        <f aca="false">"Balance sheet at 31 December "&amp;Settings!$B$4</f>
        <v>Balance sheet at 31 December 2025</v>
      </c>
    </row>
    <row r="3" customFormat="false" ht="15" hidden="false" customHeight="false" outlineLevel="0" collapsed="false">
      <c r="A3" s="7" t="s">
        <v>263</v>
      </c>
    </row>
    <row r="5" customFormat="false" ht="15" hidden="false" customHeight="false" outlineLevel="0" collapsed="false">
      <c r="A5" s="3" t="s">
        <v>264</v>
      </c>
    </row>
    <row r="6" customFormat="false" ht="15" hidden="false" customHeight="false" outlineLevel="0" collapsed="false">
      <c r="A6" s="0" t="s">
        <v>35</v>
      </c>
      <c r="B6" s="16" t="n">
        <f aca="false">Settings!$B$7+SUMIFS(Cash_Book!$F$5:$F$82,Cash_Book!$D$5:$D$82,1500)-SUMIFS(Cash_Book!$E$5:$E$82,Cash_Book!$D$5:$D$82,1500)</f>
        <v>1230000</v>
      </c>
    </row>
    <row r="7" customFormat="false" ht="15" hidden="false" customHeight="false" outlineLevel="0" collapsed="false">
      <c r="A7" s="0" t="s">
        <v>265</v>
      </c>
      <c r="B7" s="17" t="n">
        <f aca="false">Cash_Book!$K$84</f>
        <v>2687000</v>
      </c>
    </row>
    <row r="8" customFormat="false" ht="15" hidden="false" customHeight="false" outlineLevel="0" collapsed="false">
      <c r="A8" s="3" t="s">
        <v>266</v>
      </c>
      <c r="B8" s="13" t="n">
        <f aca="false">B6+B7</f>
        <v>3917000</v>
      </c>
    </row>
    <row r="9" customFormat="false" ht="15" hidden="false" customHeight="false" outlineLevel="0" collapsed="false">
      <c r="B9" s="16"/>
    </row>
    <row r="10" customFormat="false" ht="15" hidden="false" customHeight="false" outlineLevel="0" collapsed="false">
      <c r="A10" s="3" t="s">
        <v>267</v>
      </c>
      <c r="B10" s="16"/>
    </row>
    <row r="11" customFormat="false" ht="15" hidden="false" customHeight="false" outlineLevel="0" collapsed="false">
      <c r="A11" s="0" t="s">
        <v>268</v>
      </c>
      <c r="B11" s="17" t="n">
        <f aca="false">Settings!$B$8</f>
        <v>1500000</v>
      </c>
    </row>
    <row r="12" customFormat="false" ht="15" hidden="false" customHeight="false" outlineLevel="0" collapsed="false">
      <c r="A12" s="0" t="s">
        <v>269</v>
      </c>
      <c r="B12" s="16" t="n">
        <f aca="false">SUMIFS(Cash_Book!$E$5:$E$82,Cash_Book!$D$5:$D$82,3000)</f>
        <v>500000</v>
      </c>
    </row>
    <row r="13" customFormat="false" ht="15" hidden="false" customHeight="false" outlineLevel="0" collapsed="false">
      <c r="A13" s="0" t="s">
        <v>270</v>
      </c>
      <c r="B13" s="17" t="n">
        <f aca="false">Income_Statement!B16</f>
        <v>2317000</v>
      </c>
    </row>
    <row r="14" customFormat="false" ht="15" hidden="false" customHeight="false" outlineLevel="0" collapsed="false">
      <c r="A14" s="0" t="s">
        <v>271</v>
      </c>
      <c r="B14" s="16" t="n">
        <f aca="false">-SUMIFS(Cash_Book!$F$5:$F$82,Cash_Book!$D$5:$D$82,3100)</f>
        <v>-400000</v>
      </c>
    </row>
    <row r="15" customFormat="false" ht="15" hidden="false" customHeight="false" outlineLevel="0" collapsed="false">
      <c r="A15" s="3" t="s">
        <v>272</v>
      </c>
      <c r="B15" s="13" t="n">
        <f aca="false">SUM(B11:B14)</f>
        <v>3917000</v>
      </c>
    </row>
    <row r="16" customFormat="false" ht="15" hidden="false" customHeight="false" outlineLevel="0" collapsed="false">
      <c r="B16" s="16"/>
    </row>
    <row r="17" customFormat="false" ht="15" hidden="false" customHeight="false" outlineLevel="0" collapsed="false">
      <c r="A17" s="0" t="s">
        <v>273</v>
      </c>
      <c r="B17" s="16" t="n">
        <f aca="false">B8-B15</f>
        <v>0</v>
      </c>
    </row>
    <row r="19" customFormat="false" ht="15" hidden="false" customHeight="false" outlineLevel="0" collapsed="false">
      <c r="A19" s="7" t="s">
        <v>274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6"/>
  </cols>
  <sheetData>
    <row r="1" customFormat="false" ht="16.15" hidden="false" customHeight="false" outlineLevel="0" collapsed="false">
      <c r="A1" s="1" t="str">
        <f aca="false">Settings!$B$3</f>
        <v>Example Tech Ltd (fictional)</v>
      </c>
    </row>
    <row r="2" customFormat="false" ht="15" hidden="false" customHeight="false" outlineLevel="0" collapsed="false">
      <c r="A2" s="3" t="str">
        <f aca="false">"Cash flow summary for the year ended 31 December "&amp;Settings!$B$4</f>
        <v>Cash flow summary for the year ended 31 December 2025</v>
      </c>
    </row>
    <row r="4" customFormat="false" ht="15" hidden="false" customHeight="false" outlineLevel="0" collapsed="false">
      <c r="A4" s="2" t="s">
        <v>275</v>
      </c>
      <c r="B4" s="16" t="n">
        <f aca="false">SUMPRODUCT((COUNTIFS(Chart_of_Accounts!$A$4:$A$18,Cash_Book!$D$5:$D$82,Chart_of_Accounts!$E$4:$E$18,"Operating")&gt;0)*Cash_Book!$J$5:$J$82)</f>
        <v>2317000</v>
      </c>
    </row>
    <row r="5" customFormat="false" ht="15" hidden="false" customHeight="false" outlineLevel="0" collapsed="false">
      <c r="A5" s="2" t="s">
        <v>276</v>
      </c>
      <c r="B5" s="16" t="n">
        <f aca="false">SUMPRODUCT((COUNTIFS(Chart_of_Accounts!$A$4:$A$18,Cash_Book!$D$5:$D$82,Chart_of_Accounts!$E$4:$E$18,"Investing")&gt;0)*Cash_Book!$J$5:$J$82)</f>
        <v>-1230000</v>
      </c>
    </row>
    <row r="6" customFormat="false" ht="15" hidden="false" customHeight="false" outlineLevel="0" collapsed="false">
      <c r="A6" s="2" t="s">
        <v>277</v>
      </c>
      <c r="B6" s="16" t="n">
        <f aca="false">SUMPRODUCT((COUNTIFS(Chart_of_Accounts!$A$4:$A$18,Cash_Book!$D$5:$D$82,Chart_of_Accounts!$E$4:$E$18,"Financing")&gt;0)*Cash_Book!$J$5:$J$82)</f>
        <v>100000</v>
      </c>
    </row>
    <row r="7" customFormat="false" ht="15" hidden="false" customHeight="false" outlineLevel="0" collapsed="false">
      <c r="A7" s="3" t="s">
        <v>278</v>
      </c>
      <c r="B7" s="13" t="n">
        <f aca="false">SUM(B4:B6)</f>
        <v>1187000</v>
      </c>
    </row>
    <row r="8" customFormat="false" ht="15" hidden="false" customHeight="false" outlineLevel="0" collapsed="false">
      <c r="A8" s="0" t="s">
        <v>279</v>
      </c>
      <c r="B8" s="17" t="n">
        <f aca="false">Settings!$B$6</f>
        <v>1500000</v>
      </c>
    </row>
    <row r="9" customFormat="false" ht="15" hidden="false" customHeight="false" outlineLevel="0" collapsed="false">
      <c r="A9" s="3" t="s">
        <v>280</v>
      </c>
      <c r="B9" s="13" t="n">
        <f aca="false">B7+B8</f>
        <v>2687000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</cols>
  <sheetData>
    <row r="1" customFormat="false" ht="16.15" hidden="false" customHeight="false" outlineLevel="0" collapsed="false">
      <c r="A1" s="1" t="s">
        <v>281</v>
      </c>
    </row>
    <row r="3" customFormat="false" ht="15" hidden="false" customHeight="false" outlineLevel="0" collapsed="false">
      <c r="A3" s="0" t="s">
        <v>282</v>
      </c>
      <c r="B3" s="17" t="n">
        <f aca="false">Cash_Book!$K$84</f>
        <v>2687000</v>
      </c>
    </row>
    <row r="5" customFormat="false" ht="15" hidden="false" customHeight="false" outlineLevel="0" collapsed="false">
      <c r="A5" s="0" t="s">
        <v>283</v>
      </c>
      <c r="B5" s="5" t="n">
        <v>3487000</v>
      </c>
    </row>
    <row r="6" customFormat="false" ht="15" hidden="false" customHeight="false" outlineLevel="0" collapsed="false">
      <c r="A6" s="0" t="s">
        <v>284</v>
      </c>
      <c r="B6" s="5" t="n">
        <v>0</v>
      </c>
    </row>
    <row r="7" customFormat="false" ht="15" hidden="false" customHeight="false" outlineLevel="0" collapsed="false">
      <c r="A7" s="0" t="s">
        <v>285</v>
      </c>
      <c r="B7" s="5" t="n">
        <v>-800000</v>
      </c>
    </row>
    <row r="8" customFormat="false" ht="15" hidden="false" customHeight="false" outlineLevel="0" collapsed="false">
      <c r="A8" s="3" t="s">
        <v>286</v>
      </c>
      <c r="B8" s="13" t="n">
        <f aca="false">SUM(B5:B7)</f>
        <v>2687000</v>
      </c>
    </row>
    <row r="10" customFormat="false" ht="15" hidden="false" customHeight="false" outlineLevel="0" collapsed="false">
      <c r="A10" s="3" t="s">
        <v>273</v>
      </c>
      <c r="B10" s="14" t="n">
        <f aca="false">B3-B8</f>
        <v>0</v>
      </c>
    </row>
    <row r="11" customFormat="false" ht="15" hidden="false" customHeight="false" outlineLevel="0" collapsed="false">
      <c r="A11" s="3" t="s">
        <v>287</v>
      </c>
      <c r="B11" s="3" t="str">
        <f aca="false">IF(ABS(B10)&lt;0.5,"RECONCILED","INVESTIGATE")</f>
        <v>RECONCILED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70"/>
    <col collapsed="false" customWidth="true" hidden="false" outlineLevel="0" max="3" min="3" style="0" width="14"/>
  </cols>
  <sheetData>
    <row r="1" customFormat="false" ht="16.15" hidden="false" customHeight="false" outlineLevel="0" collapsed="false">
      <c r="A1" s="1" t="s">
        <v>288</v>
      </c>
    </row>
    <row r="3" customFormat="false" ht="15" hidden="false" customHeight="false" outlineLevel="0" collapsed="false">
      <c r="A3" s="8" t="s">
        <v>289</v>
      </c>
      <c r="B3" s="8" t="s">
        <v>290</v>
      </c>
      <c r="C3" s="8" t="s">
        <v>291</v>
      </c>
    </row>
    <row r="4" customFormat="false" ht="15" hidden="false" customHeight="false" outlineLevel="0" collapsed="false">
      <c r="A4" s="2" t="n">
        <v>1</v>
      </c>
      <c r="B4" s="2" t="s">
        <v>292</v>
      </c>
      <c r="C4" s="3" t="str">
        <f aca="false">IF(ABS(Balance_Sheet!B17)&lt;0.5,"PASS","FAIL")</f>
        <v>PASS</v>
      </c>
    </row>
    <row r="5" customFormat="false" ht="15" hidden="false" customHeight="false" outlineLevel="0" collapsed="false">
      <c r="A5" s="2" t="n">
        <v>2</v>
      </c>
      <c r="B5" s="2" t="s">
        <v>293</v>
      </c>
      <c r="C5" s="3" t="str">
        <f aca="false">IF(COUNTIF(Cash_Book!$G$5:$G$82,"INVALID CODE")=0,"PASS","FAIL")</f>
        <v>PASS</v>
      </c>
    </row>
    <row r="6" customFormat="false" ht="15" hidden="false" customHeight="false" outlineLevel="0" collapsed="false">
      <c r="A6" s="2" t="n">
        <v>3</v>
      </c>
      <c r="B6" s="2" t="s">
        <v>294</v>
      </c>
      <c r="C6" s="3" t="str">
        <f aca="false">IF(ABS(Cash_Flow!B9-Cash_Book!$K$84)&lt;0.5,"PASS","FAIL")</f>
        <v>PASS</v>
      </c>
    </row>
    <row r="7" customFormat="false" ht="15" hidden="false" customHeight="false" outlineLevel="0" collapsed="false">
      <c r="A7" s="2" t="n">
        <v>4</v>
      </c>
      <c r="B7" s="2" t="s">
        <v>295</v>
      </c>
      <c r="C7" s="3" t="str">
        <f aca="false">IF(Settings!$B$5&lt;&gt;12,"N/A (month&lt;12)",IF(ABS(Budget_vs_Actual!E20-Income_Statement!B16)&lt;0.5,"PASS","FAIL"))</f>
        <v>PASS</v>
      </c>
    </row>
    <row r="8" customFormat="false" ht="15" hidden="false" customHeight="false" outlineLevel="0" collapsed="false">
      <c r="A8" s="2" t="n">
        <v>5</v>
      </c>
      <c r="B8" s="2" t="s">
        <v>296</v>
      </c>
      <c r="C8" s="3" t="str">
        <f aca="false">IF(Bank_Reconciliation!B11="RECONCILED","PASS","FAIL")</f>
        <v>PASS</v>
      </c>
    </row>
    <row r="10" customFormat="false" ht="15" hidden="false" customHeight="false" outlineLevel="0" collapsed="false">
      <c r="B10" s="3" t="s">
        <v>297</v>
      </c>
      <c r="C10" s="3" t="str">
        <f aca="false">IF(COUNTIF(C4:C8,"FAIL")=0,"ALL PASS","REVIEW")</f>
        <v>ALL PASS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2026-10-15T07:43:14Z</dcterms:created>
  <dc:creator>openpyxl</dc:creator>
  <dc:description/>
  <dc:language>en-US</dc:language>
  <cp:lastModifiedBy/>
  <dcterms:modified xsi:type="dcterms:W3CDTF">2026-10-15T07:43:14Z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
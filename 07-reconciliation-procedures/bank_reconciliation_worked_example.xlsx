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Items" sheetId="2" state="visible" r:id="rId4"/>
    <sheet name="Reconcili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<sst xmlns="http://schemas.openxmlformats.org/spreadsheetml/2006/main" count="43" uniqueCount="42">
  <si>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Bank Reconciliation — Worked Example (fictional)</t>
  </si>
  <si>
    <t xml:space="preserve">Author: Anicet Safari, CPA · Illustrative work sample, October 2026 · Ministry X (fictional), TSA sub-account, 30 June 2026 · RWF thousands</t>
  </si>
  <si>
    <t xml:space="preserve">Sheets: Items (reconciling items register, inputs) · Reconciliation (two-sided statement, formulas) · the adjusted cash balance feeds the cash-basis statement in folder 02.</t>
  </si>
  <si>
    <t xml:space="preserve">Blue text = input · Black = formula. To try it, change any blue amount on Items: the difference on Reconciliation stops being zero and the status turns to NOT RECONCILED.</t>
  </si>
  <si>
    <t xml:space="preserve">Reconciling items register — 30 June 2026</t>
  </si>
  <si>
    <t xml:space="preserve">Reconciliation date</t>
  </si>
  <si>
    <t xml:space="preserve">Type</t>
  </si>
  <si>
    <t xml:space="preserve">Reference</t>
  </si>
  <si>
    <t xml:space="preserve">Date</t>
  </si>
  <si>
    <t xml:space="preserve">Description</t>
  </si>
  <si>
    <t xml:space="preserve">Amount</t>
  </si>
  <si>
    <t xml:space="preserve">Age (days)</t>
  </si>
  <si>
    <t xml:space="preserve">Over 90 days?</t>
  </si>
  <si>
    <t xml:space="preserve">Uncredited receipt</t>
  </si>
  <si>
    <t xml:space="preserve">RCPT-2026-0388</t>
  </si>
  <si>
    <t xml:space="preserve">Fees deposited 30 June, credited by bank 1 July</t>
  </si>
  <si>
    <t xml:space="preserve">Unpresented payment</t>
  </si>
  <si>
    <t xml:space="preserve">PV-2026-0611</t>
  </si>
  <si>
    <t xml:space="preserve">Supplier payment, cleared by bank 2 July</t>
  </si>
  <si>
    <t xml:space="preserve">PV-2026-0614</t>
  </si>
  <si>
    <t xml:space="preserve">Supplier payment, cleared by bank 3 July</t>
  </si>
  <si>
    <t xml:space="preserve">Cash book adjustment</t>
  </si>
  <si>
    <t xml:space="preserve">BS-0630-CHG</t>
  </si>
  <si>
    <t xml:space="preserve">Bank charges on statement, not yet in cash book</t>
  </si>
  <si>
    <t xml:space="preserve">Type must be one of: Uncredited receipt, Unpresented payment, Cash book adjustment (signed: negative reduces the cash book).</t>
  </si>
  <si>
    <t xml:space="preserve">Bank Reconciliation Statement — Ministry X (fictional), TSA sub-account, 30 June 2026</t>
  </si>
  <si>
    <t xml:space="preserve">RWF thousands</t>
  </si>
  <si>
    <t xml:space="preserve">A. Cash book side</t>
  </si>
  <si>
    <t xml:space="preserve">Balance per cash book before adjustments</t>
  </si>
  <si>
    <t xml:space="preserve">Add / (less): cash book adjustments</t>
  </si>
  <si>
    <t xml:space="preserve">Adjusted cash book balance</t>
  </si>
  <si>
    <t xml:space="preserve">B. Bank side</t>
  </si>
  <si>
    <t xml:space="preserve">Balance per bank statement</t>
  </si>
  <si>
    <t xml:space="preserve">Add: uncredited receipts</t>
  </si>
  <si>
    <t xml:space="preserve">Less: unpresented payments</t>
  </si>
  <si>
    <t xml:space="preserve">Adjusted bank balance</t>
  </si>
  <si>
    <t xml:space="preserve">Unexplained difference (A − B)</t>
  </si>
  <si>
    <t xml:space="preserve">Status</t>
  </si>
  <si>
    <t xml:space="preserve">Items over 90 days needing explanation</t>
  </si>
  <si>
    <t xml:space="preserve">Prepared by: Reconciliation Officer ________   Date: ______</t>
  </si>
  <si>
    <t xml:space="preserve">Approved by: Chief Accountant ________   Date: ______   (preparer and approver must be different people)</t>
  </si>
  <si>
    <t xml:space="preserve">Adjusted cash balance B7 is the closing cash used in the Statement of Cash Receipts and Payments (folder 02).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</si>
</sst>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</cols>
  <sheetData>
    <row r="1" customFormat="false" ht="16.15" hidden="false" customHeight="false" outlineLevel="0" collapsed="false">
      <c r="A1" s="1" t="s">
        <v>4</v>
      </c>
    </row>
    <row r="2" customFormat="false" ht="15" hidden="false" customHeight="false" outlineLevel="0" collapsed="false">
      <c r="A2" s="3" t="s">
        <v>5</v>
      </c>
      <c r="C2" s="4" t="n">
        <v>46203</v>
      </c>
    </row>
    <row r="4" customFormat="false" ht="15" hidden="false" customHeight="fals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</row>
    <row r="5" customFormat="false" ht="15" hidden="false" customHeight="false" outlineLevel="0" collapsed="false">
      <c r="A5" s="6" t="s">
        <v>13</v>
      </c>
      <c r="B5" s="6" t="s">
        <v>14</v>
      </c>
      <c r="C5" s="4" t="n">
        <v>46203</v>
      </c>
      <c r="D5" s="6" t="s">
        <v>15</v>
      </c>
      <c r="E5" s="7" t="n">
        <v>3620</v>
      </c>
      <c r="F5" s="2" t="n">
        <f aca="false">$C$2-C5</f>
        <v>0</v>
      </c>
      <c r="G5" s="2" t="str">
        <f aca="false">IF(F5&gt;90,"Yes - explain","No")</f>
        <v>No</v>
      </c>
    </row>
    <row r="6" customFormat="false" ht="15" hidden="false" customHeight="false" outlineLevel="0" collapsed="false">
      <c r="A6" s="6" t="s">
        <v>16</v>
      </c>
      <c r="B6" s="6" t="s">
        <v>17</v>
      </c>
      <c r="C6" s="4" t="n">
        <v>46200</v>
      </c>
      <c r="D6" s="6" t="s">
        <v>18</v>
      </c>
      <c r="E6" s="7" t="n">
        <v>9800</v>
      </c>
      <c r="F6" s="2" t="n">
        <f aca="false">$C$2-C6</f>
        <v>3</v>
      </c>
      <c r="G6" s="2" t="str">
        <f aca="false">IF(F6&gt;90,"Yes - explain","No")</f>
        <v>No</v>
      </c>
    </row>
    <row r="7" customFormat="false" ht="15" hidden="false" customHeight="false" outlineLevel="0" collapsed="false">
      <c r="A7" s="6" t="s">
        <v>16</v>
      </c>
      <c r="B7" s="6" t="s">
        <v>19</v>
      </c>
      <c r="C7" s="4" t="n">
        <v>46202</v>
      </c>
      <c r="D7" s="6" t="s">
        <v>20</v>
      </c>
      <c r="E7" s="7" t="n">
        <v>5200</v>
      </c>
      <c r="F7" s="2" t="n">
        <f aca="false">$C$2-C7</f>
        <v>1</v>
      </c>
      <c r="G7" s="2" t="str">
        <f aca="false">IF(F7&gt;90,"Yes - explain","No")</f>
        <v>No</v>
      </c>
    </row>
    <row r="8" customFormat="false" ht="15" hidden="false" customHeight="false" outlineLevel="0" collapsed="false">
      <c r="A8" s="6" t="s">
        <v>21</v>
      </c>
      <c r="B8" s="6" t="s">
        <v>22</v>
      </c>
      <c r="C8" s="4" t="n">
        <v>46203</v>
      </c>
      <c r="D8" s="6" t="s">
        <v>23</v>
      </c>
      <c r="E8" s="7" t="n">
        <v>-45</v>
      </c>
      <c r="F8" s="2" t="n">
        <f aca="false">$C$2-C8</f>
        <v>0</v>
      </c>
      <c r="G8" s="2" t="str">
        <f aca="false">IF(F8&gt;90,"Yes - explain","No")</f>
        <v>No</v>
      </c>
    </row>
    <row r="10" customFormat="false" ht="15" hidden="false" customHeight="false" outlineLevel="0" collapsed="false">
      <c r="A10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0" t="s">
        <v>26</v>
      </c>
    </row>
    <row r="4" customFormat="false" ht="15" hidden="false" customHeight="false" outlineLevel="0" collapsed="false">
      <c r="A4" s="3" t="s">
        <v>27</v>
      </c>
    </row>
    <row r="5" customFormat="false" ht="15" hidden="false" customHeight="false" outlineLevel="0" collapsed="false">
      <c r="A5" s="2" t="s">
        <v>28</v>
      </c>
      <c r="B5" s="7" t="n">
        <v>160040</v>
      </c>
    </row>
    <row r="6" customFormat="false" ht="15" hidden="false" customHeight="false" outlineLevel="0" collapsed="false">
      <c r="A6" s="2" t="s">
        <v>29</v>
      </c>
      <c r="B6" s="9" t="n">
        <f aca="false">SUMIFS(Items!$E$5:$E$8,Items!$A$5:$A$8,"Cash book adjustment")</f>
        <v>-45</v>
      </c>
    </row>
    <row r="7" customFormat="false" ht="15" hidden="false" customHeight="false" outlineLevel="0" collapsed="false">
      <c r="A7" s="3" t="s">
        <v>30</v>
      </c>
      <c r="B7" s="10" t="n">
        <f aca="false">B5+B6</f>
        <v>159995</v>
      </c>
    </row>
    <row r="9" customFormat="false" ht="15" hidden="false" customHeight="false" outlineLevel="0" collapsed="false">
      <c r="A9" s="3" t="s">
        <v>31</v>
      </c>
    </row>
    <row r="10" customFormat="false" ht="15" hidden="false" customHeight="false" outlineLevel="0" collapsed="false">
      <c r="A10" s="2" t="s">
        <v>32</v>
      </c>
      <c r="B10" s="7" t="n">
        <v>171375</v>
      </c>
    </row>
    <row r="11" customFormat="false" ht="15" hidden="false" customHeight="false" outlineLevel="0" collapsed="false">
      <c r="A11" s="2" t="s">
        <v>33</v>
      </c>
      <c r="B11" s="9" t="n">
        <f aca="false">SUMIFS(Items!$E$5:$E$8,Items!$A$5:$A$8,"Uncredited receipt")</f>
        <v>3620</v>
      </c>
    </row>
    <row r="12" customFormat="false" ht="15" hidden="false" customHeight="false" outlineLevel="0" collapsed="false">
      <c r="A12" s="2" t="s">
        <v>34</v>
      </c>
      <c r="B12" s="9" t="n">
        <f aca="false">-SUMIFS(Items!$E$5:$E$8,Items!$A$5:$A$8,"Unpresented payment")</f>
        <v>-15000</v>
      </c>
    </row>
    <row r="13" customFormat="false" ht="15" hidden="false" customHeight="false" outlineLevel="0" collapsed="false">
      <c r="A13" s="3" t="s">
        <v>35</v>
      </c>
      <c r="B13" s="10" t="n">
        <f aca="false">B10+B11+B12</f>
        <v>159995</v>
      </c>
    </row>
    <row r="15" customFormat="false" ht="15" hidden="false" customHeight="false" outlineLevel="0" collapsed="false">
      <c r="A15" s="3" t="s">
        <v>36</v>
      </c>
      <c r="B15" s="11" t="n">
        <f aca="false">B7-B13</f>
        <v>0</v>
      </c>
    </row>
    <row r="16" customFormat="false" ht="15" hidden="false" customHeight="false" outlineLevel="0" collapsed="false">
      <c r="A16" s="3" t="s">
        <v>37</v>
      </c>
      <c r="B16" s="3" t="str">
        <f aca="false">IF(ABS(B15)&lt;0.5,"RECONCILED","NOT RECONCILED")</f>
        <v>RECONCILED</v>
      </c>
    </row>
    <row r="17" customFormat="false" ht="15" hidden="false" customHeight="false" outlineLevel="0" collapsed="false">
      <c r="A17" s="3" t="s">
        <v>38</v>
      </c>
      <c r="B17" s="2" t="n">
        <f aca="false">COUNTIF(Items!$G$5:$G$8,"Yes - explain")</f>
        <v>0</v>
      </c>
    </row>
    <row r="19" customFormat="false" ht="15" hidden="false" customHeight="false" outlineLevel="0" collapsed="false">
      <c r="A19" s="0" t="s">
        <v>39</v>
      </c>
    </row>
    <row r="20" customFormat="false" ht="15" hidden="false" customHeight="false" outlineLevel="0" collapsed="false">
      <c r="A20" s="0" t="s">
        <v>40</v>
      </c>
    </row>
    <row r="22" customFormat="false" ht="15" hidden="false" customHeight="false" outlineLevel="0" collapsed="false">
      <c r="A22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2026-10-14T14:43:04Z</dcterms:created>
  <dc:creator>openpyxl</dc:creator>
  <dc:description/>
  <dc:language>en-US</dc:language>
  <cp:lastModifiedBy/>
  <dcterms:modified xsi:type="dcterms:W3CDTF">2026-10-14T14:43:04Z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
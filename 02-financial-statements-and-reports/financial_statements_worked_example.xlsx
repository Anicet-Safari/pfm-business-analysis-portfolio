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_Me" sheetId="1" state="visible" r:id="rId3"/>
    <sheet name="Ledger" sheetId="2" state="visible" r:id="rId4"/>
    <sheet name="Receipts_Payments" sheetId="3" state="visible" r:id="rId5"/>
    <sheet name="Budget_vs_Actual" sheetId="4" state="visible" r:id="rId6"/>
    <sheet name="Check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<sst xmlns="http://schemas.openxmlformats.org/spreadsheetml/2006/main" count="137" uniqueCount="97">
  <si>
    <t xml:space="preserve">Ministry X (fictional) — Financial Statements, FY 2025/26 (cash basis)</t>
  </si>
  <si>
    <t xml:space="preserve">Author: Anicet Safari, CPA · Illustrative work sample, October 2026 · All figures fictional, RWF thousands</t>
  </si>
  <si>
    <t xml:space="preserve">Purpose</t>
  </si>
  <si>
    <t xml:space="preserve">Shows how report specifications (report_specifications.md) translate into working statements that tie back to the ledger.</t>
  </si>
  <si>
    <t xml:space="preserve">Sheets</t>
  </si>
  <si>
    <t xml:space="preserve">Ledger — closing balances by economic code with original budget, final budget and actual (the single data source).</t>
  </si>
  <si>
    <t xml:space="preserve">Receipts_Payments — Statement of Cash Receipts and Payments (IPSAS cash basis), built with SUMIFS on the ledger.</t>
  </si>
  <si>
    <t xml:space="preserve">Budget_vs_Actual — Statement of Comparison of Budget and Actual Amounts (IPSAS 24 style), by statement line.</t>
  </si>
  <si>
    <t xml:space="preserve">Checks — tie-out tests: statements agree to the ledger and to each other, and closing cash agrees to the reconciled bank balance.</t>
  </si>
  <si>
    <t xml:space="preserve">Colour legend</t>
  </si>
  <si>
    <t xml:space="preserve">Blue text = input (edit these) · Black text = formula · Green text = link to another sheet</t>
  </si>
  <si>
    <t xml:space="preserve">Example row of inputs: Ledger row 6 (code 2211010, Office supplies) — change any blue amount and every statement and check updates.</t>
  </si>
  <si>
    <t xml:space="preserve">Ledger balances by economic code — FY 2025/26 (RWF thousands)</t>
  </si>
  <si>
    <t xml:space="preserve">Economic code</t>
  </si>
  <si>
    <t xml:space="preserve">Account name</t>
  </si>
  <si>
    <t xml:space="preserve">Type</t>
  </si>
  <si>
    <t xml:space="preserve">Statement line</t>
  </si>
  <si>
    <t xml:space="preserve">Original budget</t>
  </si>
  <si>
    <t xml:space="preserve">Final budget</t>
  </si>
  <si>
    <t xml:space="preserve">Actual</t>
  </si>
  <si>
    <t xml:space="preserve">1500010</t>
  </si>
  <si>
    <t xml:space="preserve">Transfers received from Treasury</t>
  </si>
  <si>
    <t xml:space="preserve">Receipt</t>
  </si>
  <si>
    <t xml:space="preserve">Transfers from Treasury</t>
  </si>
  <si>
    <t xml:space="preserve">1420010</t>
  </si>
  <si>
    <t xml:space="preserve">Administrative fees</t>
  </si>
  <si>
    <t xml:space="preserve">Fees and charges</t>
  </si>
  <si>
    <t xml:space="preserve">2110010</t>
  </si>
  <si>
    <t xml:space="preserve">Basic salaries - permanent staff</t>
  </si>
  <si>
    <t xml:space="preserve">Payment</t>
  </si>
  <si>
    <t xml:space="preserve">Compensation of employees</t>
  </si>
  <si>
    <t xml:space="preserve">2110020</t>
  </si>
  <si>
    <t xml:space="preserve">Allowances</t>
  </si>
  <si>
    <t xml:space="preserve">2120010</t>
  </si>
  <si>
    <t xml:space="preserve">Employer pension contribution</t>
  </si>
  <si>
    <t xml:space="preserve">2211010</t>
  </si>
  <si>
    <t xml:space="preserve">Office supplies</t>
  </si>
  <si>
    <t xml:space="preserve">Use of goods and services</t>
  </si>
  <si>
    <t xml:space="preserve">2211020</t>
  </si>
  <si>
    <t xml:space="preserve">Communication and internet</t>
  </si>
  <si>
    <t xml:space="preserve">2221010</t>
  </si>
  <si>
    <t xml:space="preserve">Domestic travel</t>
  </si>
  <si>
    <t xml:space="preserve">2231010</t>
  </si>
  <si>
    <t xml:space="preserve">Electricity</t>
  </si>
  <si>
    <t xml:space="preserve">2631010</t>
  </si>
  <si>
    <t xml:space="preserve">Current transfers to districts</t>
  </si>
  <si>
    <t xml:space="preserve">Grants and transfers</t>
  </si>
  <si>
    <t xml:space="preserve">3111010</t>
  </si>
  <si>
    <t xml:space="preserve">Buildings - construction</t>
  </si>
  <si>
    <t xml:space="preserve">Acquisition of non-financial assets</t>
  </si>
  <si>
    <t xml:space="preserve">3112010</t>
  </si>
  <si>
    <t xml:space="preserve">Machinery and equipment</t>
  </si>
  <si>
    <t xml:space="preserve">Total receipts</t>
  </si>
  <si>
    <t xml:space="preserve">Total payments</t>
  </si>
  <si>
    <t xml:space="preserve">Opening cash balance (1 July 2025)</t>
  </si>
  <si>
    <t xml:space="preserve">Reconciled bank balance, 30 June 2026 (from bank reconciliation, folder 07)</t>
  </si>
  <si>
    <t xml:space="preserve">All amounts fictional, entered by the author for illustration.</t>
  </si>
  <si>
    <t xml:space="preserve">Ministry X (fictional)</t>
  </si>
  <si>
    <t xml:space="preserve">Statement of Cash Receipts and Payments for the year ended 30 June 2026</t>
  </si>
  <si>
    <t xml:space="preserve">RWF thousands · IPSAS cash basis</t>
  </si>
  <si>
    <t xml:space="preserve">Line</t>
  </si>
  <si>
    <t xml:space="preserve">Note</t>
  </si>
  <si>
    <t xml:space="preserve">FY 2025/26</t>
  </si>
  <si>
    <t xml:space="preserve">Receipts</t>
  </si>
  <si>
    <t xml:space="preserve">1</t>
  </si>
  <si>
    <t xml:space="preserve">2</t>
  </si>
  <si>
    <t xml:space="preserve">Payments</t>
  </si>
  <si>
    <t xml:space="preserve">3</t>
  </si>
  <si>
    <t xml:space="preserve">4</t>
  </si>
  <si>
    <t xml:space="preserve">5</t>
  </si>
  <si>
    <t xml:space="preserve">6</t>
  </si>
  <si>
    <t xml:space="preserve">Net increase / (decrease) in cash</t>
  </si>
  <si>
    <t xml:space="preserve">Cash at 1 July 2025</t>
  </si>
  <si>
    <t xml:space="preserve">7</t>
  </si>
  <si>
    <t xml:space="preserve">Cash at 30 June 2026</t>
  </si>
  <si>
    <t xml:space="preserve">Statement of Comparison of Budget and Actual Amounts, year ended 30 June 2026</t>
  </si>
  <si>
    <t xml:space="preserve">RWF thousands · budget and actual on the same cash basis and classification</t>
  </si>
  <si>
    <t xml:space="preserve">Variance (final − actual)</t>
  </si>
  <si>
    <t xml:space="preserve">Execution rate</t>
  </si>
  <si>
    <t xml:space="preserve">Explanation needed?</t>
  </si>
  <si>
    <t xml:space="preserve">Net cash flow</t>
  </si>
  <si>
    <t xml:space="preserve">Variance threshold for explanation (absolute deviation from 100% execution)</t>
  </si>
  <si>
    <t xml:space="preserve">Assumption set by the author: lines executed outside 90%–110% of final budget need a narrative explanation in the notes.</t>
  </si>
  <si>
    <t xml:space="preserve">Tie-out checks</t>
  </si>
  <si>
    <t xml:space="preserve">#</t>
  </si>
  <si>
    <t xml:space="preserve">Check</t>
  </si>
  <si>
    <t xml:space="preserve">Value A</t>
  </si>
  <si>
    <t xml:space="preserve">Value B</t>
  </si>
  <si>
    <t xml:space="preserve">Difference</t>
  </si>
  <si>
    <t xml:space="preserve">Result</t>
  </si>
  <si>
    <t xml:space="preserve">Statement total receipts = ledger total receipts</t>
  </si>
  <si>
    <t xml:space="preserve">Statement total payments = ledger total payments</t>
  </si>
  <si>
    <t xml:space="preserve">Budget vs actual: actual receipts = statement receipts</t>
  </si>
  <si>
    <t xml:space="preserve">Budget vs actual: actual payments = statement payments</t>
  </si>
  <si>
    <t xml:space="preserve">Every ledger line is mapped to a statement line (count mapped = count of lines)</t>
  </si>
  <si>
    <t xml:space="preserve">Closing cash per statement = reconciled bank balance</t>
  </si>
  <si>
    <t xml:space="preserve">All checks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</si>
</sst>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6"/>
    <col collapsed="false" customWidth="true" hidden="false" outlineLevel="0" max="3" min="3" style="0" width="10"/>
    <col collapsed="false" customWidth="true" hidden="false" outlineLevel="0" max="4" min="4" style="0" width="34"/>
    <col collapsed="false" customWidth="true" hidden="false" outlineLevel="0" max="7" min="5" style="0" width="15"/>
  </cols>
  <sheetData>
    <row r="1" customFormat="false" ht="16.15" hidden="false" customHeight="false" outlineLevel="0" collapsed="false">
      <c r="A1" s="1" t="s">
        <v>12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5" t="n">
        <v>4200000</v>
      </c>
      <c r="F4" s="5" t="n">
        <v>4350000</v>
      </c>
      <c r="G4" s="5" t="n">
        <v>4180500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22</v>
      </c>
      <c r="D5" s="2" t="s">
        <v>26</v>
      </c>
      <c r="E5" s="5" t="n">
        <v>120000</v>
      </c>
      <c r="F5" s="5" t="n">
        <v>120000</v>
      </c>
      <c r="G5" s="5" t="n">
        <v>131240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5" t="n">
        <v>1850000</v>
      </c>
      <c r="F6" s="5" t="n">
        <v>1850000</v>
      </c>
      <c r="G6" s="5" t="n">
        <v>1842310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s">
        <v>29</v>
      </c>
      <c r="D7" s="2" t="s">
        <v>30</v>
      </c>
      <c r="E7" s="5" t="n">
        <v>240000</v>
      </c>
      <c r="F7" s="5" t="n">
        <v>250000</v>
      </c>
      <c r="G7" s="5" t="n">
        <v>236900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29</v>
      </c>
      <c r="D8" s="2" t="s">
        <v>30</v>
      </c>
      <c r="E8" s="5" t="n">
        <v>92500</v>
      </c>
      <c r="F8" s="5" t="n">
        <v>92500</v>
      </c>
      <c r="G8" s="5" t="n">
        <v>92115</v>
      </c>
    </row>
    <row r="9" customFormat="false" ht="15" hidden="false" customHeight="false" outlineLevel="0" collapsed="false">
      <c r="A9" s="2" t="s">
        <v>35</v>
      </c>
      <c r="B9" s="2" t="s">
        <v>36</v>
      </c>
      <c r="C9" s="2" t="s">
        <v>29</v>
      </c>
      <c r="D9" s="2" t="s">
        <v>37</v>
      </c>
      <c r="E9" s="5" t="n">
        <v>45000</v>
      </c>
      <c r="F9" s="5" t="n">
        <v>40000</v>
      </c>
      <c r="G9" s="5" t="n">
        <v>38770</v>
      </c>
    </row>
    <row r="10" customFormat="false" ht="15" hidden="false" customHeight="false" outlineLevel="0" collapsed="false">
      <c r="A10" s="2" t="s">
        <v>38</v>
      </c>
      <c r="B10" s="2" t="s">
        <v>39</v>
      </c>
      <c r="C10" s="2" t="s">
        <v>29</v>
      </c>
      <c r="D10" s="2" t="s">
        <v>37</v>
      </c>
      <c r="E10" s="5" t="n">
        <v>30000</v>
      </c>
      <c r="F10" s="5" t="n">
        <v>30000</v>
      </c>
      <c r="G10" s="5" t="n">
        <v>27450</v>
      </c>
    </row>
    <row r="11" customFormat="false" ht="15" hidden="false" customHeight="false" outlineLevel="0" collapsed="false">
      <c r="A11" s="2" t="s">
        <v>40</v>
      </c>
      <c r="B11" s="2" t="s">
        <v>41</v>
      </c>
      <c r="C11" s="2" t="s">
        <v>29</v>
      </c>
      <c r="D11" s="2" t="s">
        <v>37</v>
      </c>
      <c r="E11" s="5" t="n">
        <v>60000</v>
      </c>
      <c r="F11" s="5" t="n">
        <v>55000</v>
      </c>
      <c r="G11" s="5" t="n">
        <v>51980</v>
      </c>
    </row>
    <row r="12" customFormat="false" ht="15" hidden="false" customHeight="false" outlineLevel="0" collapsed="false">
      <c r="A12" s="2" t="s">
        <v>42</v>
      </c>
      <c r="B12" s="2" t="s">
        <v>43</v>
      </c>
      <c r="C12" s="2" t="s">
        <v>29</v>
      </c>
      <c r="D12" s="2" t="s">
        <v>37</v>
      </c>
      <c r="E12" s="5" t="n">
        <v>38000</v>
      </c>
      <c r="F12" s="5" t="n">
        <v>42000</v>
      </c>
      <c r="G12" s="5" t="n">
        <v>41600</v>
      </c>
    </row>
    <row r="13" customFormat="false" ht="15" hidden="false" customHeight="false" outlineLevel="0" collapsed="false">
      <c r="A13" s="2" t="s">
        <v>44</v>
      </c>
      <c r="B13" s="2" t="s">
        <v>45</v>
      </c>
      <c r="C13" s="2" t="s">
        <v>29</v>
      </c>
      <c r="D13" s="2" t="s">
        <v>46</v>
      </c>
      <c r="E13" s="5" t="n">
        <v>1300000</v>
      </c>
      <c r="F13" s="5" t="n">
        <v>1400000</v>
      </c>
      <c r="G13" s="5" t="n">
        <v>1365000</v>
      </c>
    </row>
    <row r="14" customFormat="false" ht="15" hidden="false" customHeight="false" outlineLevel="0" collapsed="false">
      <c r="A14" s="2" t="s">
        <v>47</v>
      </c>
      <c r="B14" s="2" t="s">
        <v>48</v>
      </c>
      <c r="C14" s="2" t="s">
        <v>29</v>
      </c>
      <c r="D14" s="2" t="s">
        <v>49</v>
      </c>
      <c r="E14" s="5" t="n">
        <v>520000</v>
      </c>
      <c r="F14" s="5" t="n">
        <v>560000</v>
      </c>
      <c r="G14" s="5" t="n">
        <v>402300</v>
      </c>
    </row>
    <row r="15" customFormat="false" ht="15" hidden="false" customHeight="false" outlineLevel="0" collapsed="false">
      <c r="A15" s="2" t="s">
        <v>50</v>
      </c>
      <c r="B15" s="2" t="s">
        <v>51</v>
      </c>
      <c r="C15" s="2" t="s">
        <v>29</v>
      </c>
      <c r="D15" s="2" t="s">
        <v>49</v>
      </c>
      <c r="E15" s="5" t="n">
        <v>145000</v>
      </c>
      <c r="F15" s="5" t="n">
        <v>150000</v>
      </c>
      <c r="G15" s="5" t="n">
        <v>138640</v>
      </c>
    </row>
    <row r="16" customFormat="false" ht="15" hidden="false" customHeight="false" outlineLevel="0" collapsed="false">
      <c r="B16" s="3" t="s">
        <v>52</v>
      </c>
      <c r="E16" s="6" t="n">
        <f aca="false">SUMIFS(E4:E15,$C$4:$C$15,"Receipt")</f>
        <v>4320000</v>
      </c>
      <c r="F16" s="6" t="n">
        <f aca="false">SUMIFS(F4:F15,$C$4:$C$15,"Receipt")</f>
        <v>4470000</v>
      </c>
      <c r="G16" s="6" t="n">
        <f aca="false">SUMIFS(G4:G15,$C$4:$C$15,"Receipt")</f>
        <v>4311740</v>
      </c>
    </row>
    <row r="17" customFormat="false" ht="15" hidden="false" customHeight="false" outlineLevel="0" collapsed="false">
      <c r="B17" s="3" t="s">
        <v>53</v>
      </c>
      <c r="E17" s="7" t="n">
        <f aca="false">SUMIFS(E4:E15,$C$4:$C$15,"Payment")</f>
        <v>4320500</v>
      </c>
      <c r="F17" s="7" t="n">
        <f aca="false">SUMIFS(F4:F15,$C$4:$C$15,"Payment")</f>
        <v>4469500</v>
      </c>
      <c r="G17" s="7" t="n">
        <f aca="false">SUMIFS(G4:G15,$C$4:$C$15,"Payment")</f>
        <v>4237065</v>
      </c>
    </row>
    <row r="19" customFormat="false" ht="15" hidden="false" customHeight="false" outlineLevel="0" collapsed="false">
      <c r="B19" s="3" t="s">
        <v>54</v>
      </c>
      <c r="G19" s="5" t="n">
        <v>85320</v>
      </c>
    </row>
    <row r="20" customFormat="false" ht="15" hidden="false" customHeight="false" outlineLevel="0" collapsed="false">
      <c r="B20" s="3" t="s">
        <v>55</v>
      </c>
      <c r="G20" s="5" t="n">
        <v>159995</v>
      </c>
    </row>
    <row r="22" customFormat="false" ht="15" hidden="false" customHeight="false" outlineLevel="0" collapsed="false">
      <c r="A22" s="8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3" t="s">
        <v>58</v>
      </c>
    </row>
    <row r="3" customFormat="false" ht="15" hidden="false" customHeight="false" outlineLevel="0" collapsed="false">
      <c r="A3" s="2" t="s">
        <v>59</v>
      </c>
    </row>
    <row r="5" customFormat="false" ht="15" hidden="false" customHeight="false" outlineLevel="0" collapsed="false">
      <c r="A5" s="9" t="s">
        <v>60</v>
      </c>
      <c r="B5" s="9" t="s">
        <v>61</v>
      </c>
      <c r="C5" s="9" t="s">
        <v>62</v>
      </c>
    </row>
    <row r="6" customFormat="false" ht="15" hidden="false" customHeight="false" outlineLevel="0" collapsed="false">
      <c r="A6" s="3" t="s">
        <v>63</v>
      </c>
    </row>
    <row r="7" customFormat="false" ht="15" hidden="false" customHeight="false" outlineLevel="0" collapsed="false">
      <c r="A7" s="2" t="s">
        <v>23</v>
      </c>
      <c r="B7" s="2" t="s">
        <v>64</v>
      </c>
      <c r="C7" s="10" t="n">
        <f aca="false">SUMIFS(Ledger!$G$4:$G$15,Ledger!$D$4:$D$15,A7)</f>
        <v>4180500</v>
      </c>
    </row>
    <row r="8" customFormat="false" ht="15" hidden="false" customHeight="false" outlineLevel="0" collapsed="false">
      <c r="A8" s="2" t="s">
        <v>26</v>
      </c>
      <c r="B8" s="2" t="s">
        <v>65</v>
      </c>
      <c r="C8" s="10" t="n">
        <f aca="false">SUMIFS(Ledger!$G$4:$G$15,Ledger!$D$4:$D$15,A8)</f>
        <v>131240</v>
      </c>
    </row>
    <row r="9" customFormat="false" ht="15" hidden="false" customHeight="false" outlineLevel="0" collapsed="false">
      <c r="A9" s="3" t="s">
        <v>52</v>
      </c>
      <c r="C9" s="6" t="n">
        <f aca="false">SUM(C7:C8)</f>
        <v>4311740</v>
      </c>
    </row>
    <row r="11" customFormat="false" ht="15" hidden="false" customHeight="false" outlineLevel="0" collapsed="false">
      <c r="A11" s="3" t="s">
        <v>66</v>
      </c>
    </row>
    <row r="12" customFormat="false" ht="15" hidden="false" customHeight="false" outlineLevel="0" collapsed="false">
      <c r="A12" s="2" t="s">
        <v>30</v>
      </c>
      <c r="B12" s="2" t="s">
        <v>67</v>
      </c>
      <c r="C12" s="10" t="n">
        <f aca="false">SUMIFS(Ledger!$G$4:$G$15,Ledger!$D$4:$D$15,A12)</f>
        <v>2171325</v>
      </c>
    </row>
    <row r="13" customFormat="false" ht="15" hidden="false" customHeight="false" outlineLevel="0" collapsed="false">
      <c r="A13" s="2" t="s">
        <v>37</v>
      </c>
      <c r="B13" s="2" t="s">
        <v>68</v>
      </c>
      <c r="C13" s="10" t="n">
        <f aca="false">SUMIFS(Ledger!$G$4:$G$15,Ledger!$D$4:$D$15,A13)</f>
        <v>159800</v>
      </c>
    </row>
    <row r="14" customFormat="false" ht="15" hidden="false" customHeight="false" outlineLevel="0" collapsed="false">
      <c r="A14" s="2" t="s">
        <v>46</v>
      </c>
      <c r="B14" s="2" t="s">
        <v>69</v>
      </c>
      <c r="C14" s="10" t="n">
        <f aca="false">SUMIFS(Ledger!$G$4:$G$15,Ledger!$D$4:$D$15,A14)</f>
        <v>1365000</v>
      </c>
    </row>
    <row r="15" customFormat="false" ht="15" hidden="false" customHeight="false" outlineLevel="0" collapsed="false">
      <c r="A15" s="2" t="s">
        <v>49</v>
      </c>
      <c r="B15" s="2" t="s">
        <v>70</v>
      </c>
      <c r="C15" s="10" t="n">
        <f aca="false">SUMIFS(Ledger!$G$4:$G$15,Ledger!$D$4:$D$15,A15)</f>
        <v>540940</v>
      </c>
    </row>
    <row r="16" customFormat="false" ht="15" hidden="false" customHeight="false" outlineLevel="0" collapsed="false">
      <c r="A16" s="3" t="s">
        <v>53</v>
      </c>
      <c r="C16" s="6" t="n">
        <f aca="false">SUM(C12:C15)</f>
        <v>4237065</v>
      </c>
    </row>
    <row r="18" customFormat="false" ht="15" hidden="false" customHeight="false" outlineLevel="0" collapsed="false">
      <c r="A18" s="3" t="s">
        <v>71</v>
      </c>
      <c r="C18" s="7" t="n">
        <f aca="false">C9-C16</f>
        <v>74675</v>
      </c>
    </row>
    <row r="19" customFormat="false" ht="15" hidden="false" customHeight="false" outlineLevel="0" collapsed="false">
      <c r="A19" s="2" t="s">
        <v>72</v>
      </c>
      <c r="B19" s="2" t="s">
        <v>73</v>
      </c>
      <c r="C19" s="10" t="n">
        <f aca="false">Ledger!$G$19</f>
        <v>85320</v>
      </c>
    </row>
    <row r="20" customFormat="false" ht="15" hidden="false" customHeight="false" outlineLevel="0" collapsed="false">
      <c r="A20" s="3" t="s">
        <v>74</v>
      </c>
      <c r="B20" s="2" t="s">
        <v>73</v>
      </c>
      <c r="C20" s="6" t="n">
        <f aca="false">C18+C19</f>
        <v>159995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5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3" t="s">
        <v>75</v>
      </c>
    </row>
    <row r="3" customFormat="false" ht="15" hidden="false" customHeight="false" outlineLevel="0" collapsed="false">
      <c r="A3" s="0" t="s">
        <v>76</v>
      </c>
    </row>
    <row r="5" customFormat="false" ht="23.85" hidden="false" customHeight="false" outlineLevel="0" collapsed="false">
      <c r="A5" s="4" t="s">
        <v>16</v>
      </c>
      <c r="B5" s="4" t="s">
        <v>17</v>
      </c>
      <c r="C5" s="4" t="s">
        <v>18</v>
      </c>
      <c r="D5" s="4" t="s">
        <v>19</v>
      </c>
      <c r="E5" s="4" t="s">
        <v>77</v>
      </c>
      <c r="F5" s="4" t="s">
        <v>78</v>
      </c>
      <c r="G5" s="4" t="s">
        <v>79</v>
      </c>
    </row>
    <row r="6" customFormat="false" ht="15" hidden="false" customHeight="false" outlineLevel="0" collapsed="false">
      <c r="A6" s="3" t="s">
        <v>63</v>
      </c>
    </row>
    <row r="7" customFormat="false" ht="15" hidden="false" customHeight="false" outlineLevel="0" collapsed="false">
      <c r="A7" s="2" t="s">
        <v>23</v>
      </c>
      <c r="B7" s="10" t="n">
        <f aca="false">SUMIFS(Ledger!$E$4:$E$15,Ledger!$D$4:$D$15,$A7)</f>
        <v>4200000</v>
      </c>
      <c r="C7" s="10" t="n">
        <f aca="false">SUMIFS(Ledger!$F$4:$F$15,Ledger!$D$4:$D$15,$A7)</f>
        <v>4350000</v>
      </c>
      <c r="D7" s="10" t="n">
        <f aca="false">SUMIFS(Ledger!$G$4:$G$15,Ledger!$D$4:$D$15,$A7)</f>
        <v>4180500</v>
      </c>
      <c r="E7" s="11" t="n">
        <f aca="false">C7-D7</f>
        <v>169500</v>
      </c>
      <c r="F7" s="12" t="n">
        <f aca="false">IF(C7=0,0,D7/C7)</f>
        <v>0.961034482758621</v>
      </c>
      <c r="G7" s="2" t="str">
        <f aca="false">IF(ABS(1-F7)&gt;$B$22,"Yes","No")</f>
        <v>No</v>
      </c>
    </row>
    <row r="8" customFormat="false" ht="15" hidden="false" customHeight="false" outlineLevel="0" collapsed="false">
      <c r="A8" s="2" t="s">
        <v>26</v>
      </c>
      <c r="B8" s="10" t="n">
        <f aca="false">SUMIFS(Ledger!$E$4:$E$15,Ledger!$D$4:$D$15,$A8)</f>
        <v>120000</v>
      </c>
      <c r="C8" s="10" t="n">
        <f aca="false">SUMIFS(Ledger!$F$4:$F$15,Ledger!$D$4:$D$15,$A8)</f>
        <v>120000</v>
      </c>
      <c r="D8" s="10" t="n">
        <f aca="false">SUMIFS(Ledger!$G$4:$G$15,Ledger!$D$4:$D$15,$A8)</f>
        <v>131240</v>
      </c>
      <c r="E8" s="11" t="n">
        <f aca="false">C8-D8</f>
        <v>-11240</v>
      </c>
      <c r="F8" s="12" t="n">
        <f aca="false">IF(C8=0,0,D8/C8)</f>
        <v>1.09366666666667</v>
      </c>
      <c r="G8" s="2" t="str">
        <f aca="false">IF(ABS(1-F8)&gt;$B$22,"Yes","No")</f>
        <v>No</v>
      </c>
    </row>
    <row r="9" customFormat="false" ht="15" hidden="false" customHeight="false" outlineLevel="0" collapsed="false">
      <c r="A9" s="3" t="s">
        <v>52</v>
      </c>
      <c r="B9" s="6" t="n">
        <f aca="false">SUM(B7:B8)</f>
        <v>4320000</v>
      </c>
      <c r="C9" s="6" t="n">
        <f aca="false">SUM(C7:C8)</f>
        <v>4470000</v>
      </c>
      <c r="D9" s="6" t="n">
        <f aca="false">SUM(D7:D8)</f>
        <v>4311740</v>
      </c>
      <c r="E9" s="6" t="n">
        <f aca="false">SUM(E7:E8)</f>
        <v>158260</v>
      </c>
      <c r="F9" s="13" t="n">
        <f aca="false">IF(C9=0,0,D9/C9)</f>
        <v>0.964595078299776</v>
      </c>
    </row>
    <row r="11" customFormat="false" ht="15" hidden="false" customHeight="false" outlineLevel="0" collapsed="false">
      <c r="A11" s="3" t="s">
        <v>66</v>
      </c>
    </row>
    <row r="12" customFormat="false" ht="15" hidden="false" customHeight="false" outlineLevel="0" collapsed="false">
      <c r="A12" s="2" t="s">
        <v>30</v>
      </c>
      <c r="B12" s="10" t="n">
        <f aca="false">SUMIFS(Ledger!$E$4:$E$15,Ledger!$D$4:$D$15,$A12)</f>
        <v>2182500</v>
      </c>
      <c r="C12" s="10" t="n">
        <f aca="false">SUMIFS(Ledger!$F$4:$F$15,Ledger!$D$4:$D$15,$A12)</f>
        <v>2192500</v>
      </c>
      <c r="D12" s="10" t="n">
        <f aca="false">SUMIFS(Ledger!$G$4:$G$15,Ledger!$D$4:$D$15,$A12)</f>
        <v>2171325</v>
      </c>
      <c r="E12" s="11" t="n">
        <f aca="false">C12-D12</f>
        <v>21175</v>
      </c>
      <c r="F12" s="12" t="n">
        <f aca="false">IF(C12=0,0,D12/C12)</f>
        <v>0.990342075256557</v>
      </c>
      <c r="G12" s="2" t="str">
        <f aca="false">IF(ABS(1-F12)&gt;$B$22,"Yes","No")</f>
        <v>No</v>
      </c>
    </row>
    <row r="13" customFormat="false" ht="15" hidden="false" customHeight="false" outlineLevel="0" collapsed="false">
      <c r="A13" s="2" t="s">
        <v>37</v>
      </c>
      <c r="B13" s="10" t="n">
        <f aca="false">SUMIFS(Ledger!$E$4:$E$15,Ledger!$D$4:$D$15,$A13)</f>
        <v>173000</v>
      </c>
      <c r="C13" s="10" t="n">
        <f aca="false">SUMIFS(Ledger!$F$4:$F$15,Ledger!$D$4:$D$15,$A13)</f>
        <v>167000</v>
      </c>
      <c r="D13" s="10" t="n">
        <f aca="false">SUMIFS(Ledger!$G$4:$G$15,Ledger!$D$4:$D$15,$A13)</f>
        <v>159800</v>
      </c>
      <c r="E13" s="11" t="n">
        <f aca="false">C13-D13</f>
        <v>7200</v>
      </c>
      <c r="F13" s="12" t="n">
        <f aca="false">IF(C13=0,0,D13/C13)</f>
        <v>0.95688622754491</v>
      </c>
      <c r="G13" s="2" t="str">
        <f aca="false">IF(ABS(1-F13)&gt;$B$22,"Yes","No")</f>
        <v>No</v>
      </c>
    </row>
    <row r="14" customFormat="false" ht="15" hidden="false" customHeight="false" outlineLevel="0" collapsed="false">
      <c r="A14" s="2" t="s">
        <v>46</v>
      </c>
      <c r="B14" s="10" t="n">
        <f aca="false">SUMIFS(Ledger!$E$4:$E$15,Ledger!$D$4:$D$15,$A14)</f>
        <v>1300000</v>
      </c>
      <c r="C14" s="10" t="n">
        <f aca="false">SUMIFS(Ledger!$F$4:$F$15,Ledger!$D$4:$D$15,$A14)</f>
        <v>1400000</v>
      </c>
      <c r="D14" s="10" t="n">
        <f aca="false">SUMIFS(Ledger!$G$4:$G$15,Ledger!$D$4:$D$15,$A14)</f>
        <v>1365000</v>
      </c>
      <c r="E14" s="11" t="n">
        <f aca="false">C14-D14</f>
        <v>35000</v>
      </c>
      <c r="F14" s="12" t="n">
        <f aca="false">IF(C14=0,0,D14/C14)</f>
        <v>0.975</v>
      </c>
      <c r="G14" s="2" t="str">
        <f aca="false">IF(ABS(1-F14)&gt;$B$22,"Yes","No")</f>
        <v>No</v>
      </c>
    </row>
    <row r="15" customFormat="false" ht="15" hidden="false" customHeight="false" outlineLevel="0" collapsed="false">
      <c r="A15" s="2" t="s">
        <v>49</v>
      </c>
      <c r="B15" s="10" t="n">
        <f aca="false">SUMIFS(Ledger!$E$4:$E$15,Ledger!$D$4:$D$15,$A15)</f>
        <v>665000</v>
      </c>
      <c r="C15" s="10" t="n">
        <f aca="false">SUMIFS(Ledger!$F$4:$F$15,Ledger!$D$4:$D$15,$A15)</f>
        <v>710000</v>
      </c>
      <c r="D15" s="10" t="n">
        <f aca="false">SUMIFS(Ledger!$G$4:$G$15,Ledger!$D$4:$D$15,$A15)</f>
        <v>540940</v>
      </c>
      <c r="E15" s="11" t="n">
        <f aca="false">C15-D15</f>
        <v>169060</v>
      </c>
      <c r="F15" s="12" t="n">
        <f aca="false">IF(C15=0,0,D15/C15)</f>
        <v>0.761887323943662</v>
      </c>
      <c r="G15" s="2" t="str">
        <f aca="false">IF(ABS(1-F15)&gt;$B$22,"Yes","No")</f>
        <v>Yes</v>
      </c>
    </row>
    <row r="16" customFormat="false" ht="15" hidden="false" customHeight="false" outlineLevel="0" collapsed="false">
      <c r="A16" s="3" t="s">
        <v>53</v>
      </c>
      <c r="B16" s="6" t="n">
        <f aca="false">SUM(B12:B15)</f>
        <v>4320500</v>
      </c>
      <c r="C16" s="6" t="n">
        <f aca="false">SUM(C12:C15)</f>
        <v>4469500</v>
      </c>
      <c r="D16" s="6" t="n">
        <f aca="false">SUM(D12:D15)</f>
        <v>4237065</v>
      </c>
      <c r="E16" s="6" t="n">
        <f aca="false">SUM(E12:E15)</f>
        <v>232435</v>
      </c>
      <c r="F16" s="13" t="n">
        <f aca="false">IF(C16=0,0,D16/C16)</f>
        <v>0.947995301487862</v>
      </c>
    </row>
    <row r="18" customFormat="false" ht="15" hidden="false" customHeight="false" outlineLevel="0" collapsed="false">
      <c r="A18" s="3" t="s">
        <v>80</v>
      </c>
      <c r="B18" s="7" t="n">
        <f aca="false">B9-B16</f>
        <v>-500</v>
      </c>
      <c r="C18" s="7" t="n">
        <f aca="false">C9-C16</f>
        <v>500</v>
      </c>
      <c r="D18" s="7" t="n">
        <f aca="false">D9-D16</f>
        <v>74675</v>
      </c>
    </row>
    <row r="22" customFormat="false" ht="15" hidden="false" customHeight="false" outlineLevel="0" collapsed="false">
      <c r="A22" s="3" t="s">
        <v>81</v>
      </c>
      <c r="B22" s="14" t="n">
        <v>0.1</v>
      </c>
    </row>
    <row r="23" customFormat="false" ht="15" hidden="false" customHeight="false" outlineLevel="0" collapsed="false">
      <c r="A23" s="8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5" min="3" style="0" width="14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 t="s">
        <v>83</v>
      </c>
    </row>
    <row r="3" customFormat="false" ht="15" hidden="false" customHeight="false" outlineLevel="0" collapsed="false">
      <c r="A3" s="9" t="s">
        <v>84</v>
      </c>
      <c r="B3" s="9" t="s">
        <v>85</v>
      </c>
      <c r="C3" s="9" t="s">
        <v>86</v>
      </c>
      <c r="D3" s="9" t="s">
        <v>87</v>
      </c>
      <c r="E3" s="9" t="s">
        <v>88</v>
      </c>
      <c r="F3" s="9" t="s">
        <v>89</v>
      </c>
    </row>
    <row r="4" customFormat="false" ht="15" hidden="false" customHeight="false" outlineLevel="0" collapsed="false">
      <c r="A4" s="2" t="n">
        <v>1</v>
      </c>
      <c r="B4" s="2" t="s">
        <v>90</v>
      </c>
      <c r="C4" s="10" t="n">
        <f aca="false">Receipts_Payments!C9</f>
        <v>4311740</v>
      </c>
      <c r="D4" s="10" t="n">
        <f aca="false">Ledger!$G$16</f>
        <v>4311740</v>
      </c>
      <c r="E4" s="11" t="n">
        <f aca="false">C4-D4</f>
        <v>0</v>
      </c>
      <c r="F4" s="3" t="str">
        <f aca="false">IF(ABS(E4)&lt;0.5,"PASS","FAIL")</f>
        <v>PASS</v>
      </c>
    </row>
    <row r="5" customFormat="false" ht="15" hidden="false" customHeight="false" outlineLevel="0" collapsed="false">
      <c r="A5" s="2" t="n">
        <v>2</v>
      </c>
      <c r="B5" s="2" t="s">
        <v>91</v>
      </c>
      <c r="C5" s="10" t="n">
        <f aca="false">Receipts_Payments!C16</f>
        <v>4237065</v>
      </c>
      <c r="D5" s="10" t="n">
        <f aca="false">Ledger!$G$17</f>
        <v>4237065</v>
      </c>
      <c r="E5" s="11" t="n">
        <f aca="false">C5-D5</f>
        <v>0</v>
      </c>
      <c r="F5" s="3" t="str">
        <f aca="false">IF(ABS(E5)&lt;0.5,"PASS","FAIL")</f>
        <v>PASS</v>
      </c>
    </row>
    <row r="6" customFormat="false" ht="15" hidden="false" customHeight="false" outlineLevel="0" collapsed="false">
      <c r="A6" s="2" t="n">
        <v>3</v>
      </c>
      <c r="B6" s="2" t="s">
        <v>92</v>
      </c>
      <c r="C6" s="10" t="n">
        <f aca="false">Budget_vs_Actual!D9</f>
        <v>4311740</v>
      </c>
      <c r="D6" s="10" t="n">
        <f aca="false">Receipts_Payments!C9</f>
        <v>4311740</v>
      </c>
      <c r="E6" s="11" t="n">
        <f aca="false">C6-D6</f>
        <v>0</v>
      </c>
      <c r="F6" s="3" t="str">
        <f aca="false">IF(ABS(E6)&lt;0.5,"PASS","FAIL")</f>
        <v>PASS</v>
      </c>
    </row>
    <row r="7" customFormat="false" ht="15" hidden="false" customHeight="false" outlineLevel="0" collapsed="false">
      <c r="A7" s="2" t="n">
        <v>4</v>
      </c>
      <c r="B7" s="2" t="s">
        <v>93</v>
      </c>
      <c r="C7" s="10" t="n">
        <f aca="false">Budget_vs_Actual!D16</f>
        <v>4237065</v>
      </c>
      <c r="D7" s="10" t="n">
        <f aca="false">Receipts_Payments!C16</f>
        <v>4237065</v>
      </c>
      <c r="E7" s="11" t="n">
        <f aca="false">C7-D7</f>
        <v>0</v>
      </c>
      <c r="F7" s="3" t="str">
        <f aca="false">IF(ABS(E7)&lt;0.5,"PASS","FAIL")</f>
        <v>PASS</v>
      </c>
    </row>
    <row r="8" customFormat="false" ht="15" hidden="false" customHeight="false" outlineLevel="0" collapsed="false">
      <c r="A8" s="2" t="n">
        <v>5</v>
      </c>
      <c r="B8" s="2" t="s">
        <v>94</v>
      </c>
      <c r="C8" s="10" t="n">
        <f aca="false">SUMPRODUCT(--(Ledger!$D$4:$D$15&lt;&gt;""))</f>
        <v>12</v>
      </c>
      <c r="D8" s="10" t="n">
        <f aca="false">ROWS(Ledger!$D$4:$D$15)</f>
        <v>12</v>
      </c>
      <c r="E8" s="11" t="n">
        <f aca="false">C8-D8</f>
        <v>0</v>
      </c>
      <c r="F8" s="3" t="str">
        <f aca="false">IF(ABS(E8)&lt;0.5,"PASS","FAIL")</f>
        <v>PASS</v>
      </c>
    </row>
    <row r="9" customFormat="false" ht="15" hidden="false" customHeight="false" outlineLevel="0" collapsed="false">
      <c r="A9" s="2" t="n">
        <v>6</v>
      </c>
      <c r="B9" s="2" t="s">
        <v>95</v>
      </c>
      <c r="C9" s="10" t="n">
        <f aca="false">Receipts_Payments!C20</f>
        <v>159995</v>
      </c>
      <c r="D9" s="10" t="n">
        <f aca="false">Ledger!$G$20</f>
        <v>159995</v>
      </c>
      <c r="E9" s="11" t="n">
        <f aca="false">C9-D9</f>
        <v>0</v>
      </c>
      <c r="F9" s="3" t="str">
        <f aca="false">IF(ABS(E9)&lt;0.5,"PASS","FAIL")</f>
        <v>PASS</v>
      </c>
    </row>
    <row r="11" customFormat="false" ht="15" hidden="false" customHeight="false" outlineLevel="0" collapsed="false">
      <c r="B11" s="3" t="s">
        <v>96</v>
      </c>
      <c r="F11" s="3" t="str">
        <f aca="false">IF(COUNTIF(F4:F9,"PASS")=6,"ALL PASS","REVIEW")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2026-10-14T14:39:36Z</dcterms:created>
  <dc:creator>openpyxl</dc:creator>
  <dc:description/>
  <dc:language>en-US</dc:language>
  <cp:lastModifiedBy/>
  <dcterms:modified xsi:type="dcterms:W3CDTF">2026-10-14T14:39:36Z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